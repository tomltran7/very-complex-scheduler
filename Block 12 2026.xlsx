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ident Schedule" sheetId="1" r:id="rId5"/>
    <sheet state="visible" name="PTO"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tc={793ca37d-fcc5-4ec2-8881-21f99b30b59f}</author>
    <author>tc={94df8bc1-0f3d-4258-899a-79e4ec7afe32}</author>
  </authors>
  <commentList>
    <comment authorId="0" xr:uid="{793ca37d-fcc5-4ec2-8881-21f99b30b59f}" ref="E24">
      <text>
        <t xml:space="preserve">[Threaded comment]
 Your version of Excel allows you to read this threaded comment; however, any edits to it will get removed if the file is opened in a newer version of Excel. Learn more: https://go.microsoft.com/fwlink/?linkid=870924
Comment:
	Taking Step 3
</t>
      </text>
    </comment>
    <comment authorId="1" xr:uid="{94df8bc1-0f3d-4258-899a-79e4ec7afe32}" ref="F24">
      <text>
        <t xml:space="preserve">[Threaded comment]
 Your version of Excel allows you to read this threaded comment; however, any edits to it will get removed if the file is opened in a newer version of Excel. Learn more: https://go.microsoft.com/fwlink/?linkid=870924
Comment:
	Taking Step 3
</t>
      </text>
    </comment>
  </commentList>
</comments>
</file>

<file path=xl/sharedStrings.xml><?xml version="1.0" encoding="utf-8"?>
<sst xmlns="http://schemas.openxmlformats.org/spreadsheetml/2006/main" count="305" uniqueCount="153">
  <si>
    <t>Week 1</t>
  </si>
  <si>
    <t>Week  2</t>
  </si>
  <si>
    <t>Week 3</t>
  </si>
  <si>
    <t>Week 4</t>
  </si>
  <si>
    <t>Week 5</t>
  </si>
  <si>
    <t>SHIFT VALIDATOR</t>
  </si>
  <si>
    <t>STACK TRACE</t>
  </si>
  <si>
    <t>Hours</t>
  </si>
  <si>
    <t>Wednesday</t>
  </si>
  <si>
    <t>Week 2</t>
  </si>
  <si>
    <t>Jeopardy</t>
  </si>
  <si>
    <t>RANK</t>
  </si>
  <si>
    <t>CLASS</t>
  </si>
  <si>
    <t>Shift Check</t>
  </si>
  <si>
    <t>60hrs Check</t>
  </si>
  <si>
    <t>PTO Violation</t>
  </si>
  <si>
    <t># of shifts</t>
  </si>
  <si>
    <t>Total PTO (D:I)</t>
  </si>
  <si>
    <t>Total Shifts (Week)</t>
  </si>
  <si>
    <t>Total Hours (Week)</t>
  </si>
  <si>
    <t>Total PTO (J:P)</t>
  </si>
  <si>
    <t>Total PTO (Q:W)</t>
  </si>
  <si>
    <t>Total PTO (X:AD)</t>
  </si>
  <si>
    <t>Total PTO (AE)</t>
  </si>
  <si>
    <t>Number of times on call</t>
  </si>
  <si>
    <t>Bakheshi</t>
  </si>
  <si>
    <t>Oly</t>
  </si>
  <si>
    <t>PGY3</t>
  </si>
  <si>
    <t>Borrelli</t>
  </si>
  <si>
    <t>Request</t>
  </si>
  <si>
    <t>Patel</t>
  </si>
  <si>
    <t>Trauma</t>
  </si>
  <si>
    <t>Bagley</t>
  </si>
  <si>
    <t>Tox</t>
  </si>
  <si>
    <t>C</t>
  </si>
  <si>
    <t>Geier</t>
  </si>
  <si>
    <t>Hazelrigg</t>
  </si>
  <si>
    <t>ICU</t>
  </si>
  <si>
    <t>Koopman</t>
  </si>
  <si>
    <t>Surace</t>
  </si>
  <si>
    <t>Admin</t>
  </si>
  <si>
    <t>Augustinas</t>
  </si>
  <si>
    <t>PTO</t>
  </si>
  <si>
    <t>PGY2</t>
  </si>
  <si>
    <t>Carter</t>
  </si>
  <si>
    <t>Contreras</t>
  </si>
  <si>
    <t>Hochman</t>
  </si>
  <si>
    <t>Javaid</t>
  </si>
  <si>
    <t>Kandula</t>
  </si>
  <si>
    <t>Dyer</t>
  </si>
  <si>
    <t>Mounce</t>
  </si>
  <si>
    <t>Ortlieb</t>
  </si>
  <si>
    <t>Elective</t>
  </si>
  <si>
    <t>Robyn</t>
  </si>
  <si>
    <t xml:space="preserve">Armando </t>
  </si>
  <si>
    <t>PGY1</t>
  </si>
  <si>
    <t>Ayres</t>
  </si>
  <si>
    <t xml:space="preserve">Caputo </t>
  </si>
  <si>
    <t>EMS/US</t>
  </si>
  <si>
    <t xml:space="preserve">Mulk </t>
  </si>
  <si>
    <t>Christ</t>
  </si>
  <si>
    <t>Nguyen, Q</t>
  </si>
  <si>
    <t>CP</t>
  </si>
  <si>
    <t xml:space="preserve">Peschke </t>
  </si>
  <si>
    <t>Saini</t>
  </si>
  <si>
    <t>Blue Team</t>
  </si>
  <si>
    <t>Yamashita</t>
  </si>
  <si>
    <t>OB</t>
  </si>
  <si>
    <t>No IM this block</t>
  </si>
  <si>
    <t>Jaime and Leah end trauma 5/5</t>
  </si>
  <si>
    <t>Adam requesting days</t>
  </si>
  <si>
    <t>Carter, no nights 5/5</t>
  </si>
  <si>
    <t>Class</t>
  </si>
  <si>
    <t>Shift Max</t>
  </si>
  <si>
    <t>IM</t>
  </si>
  <si>
    <t>Main AM</t>
  </si>
  <si>
    <t>Main Mid</t>
  </si>
  <si>
    <t>Main PM</t>
  </si>
  <si>
    <t>Princess</t>
  </si>
  <si>
    <t>FSED AM</t>
  </si>
  <si>
    <t>FSED PM</t>
  </si>
  <si>
    <t>PEDS</t>
  </si>
  <si>
    <t>PEDS%</t>
  </si>
  <si>
    <t>FSED AM%</t>
  </si>
  <si>
    <t>FSED PM%</t>
  </si>
  <si>
    <t>SWING</t>
  </si>
  <si>
    <t>Main AMs</t>
  </si>
  <si>
    <t>Main Mids</t>
  </si>
  <si>
    <t>Main PMs</t>
  </si>
  <si>
    <t>Legend</t>
  </si>
  <si>
    <t>Trade</t>
  </si>
  <si>
    <t>Call in</t>
  </si>
  <si>
    <t>Day</t>
  </si>
  <si>
    <t>Night</t>
  </si>
  <si>
    <t>Mid shift</t>
  </si>
  <si>
    <t>Minor care</t>
  </si>
  <si>
    <t>Trauma block end on Tuesday every month</t>
  </si>
  <si>
    <t>Site</t>
  </si>
  <si>
    <t>Shift</t>
  </si>
  <si>
    <t>Start Time</t>
  </si>
  <si>
    <t>End Time</t>
  </si>
  <si>
    <t>S1</t>
  </si>
  <si>
    <t>S2</t>
  </si>
  <si>
    <t>S3</t>
  </si>
  <si>
    <t>S4</t>
  </si>
  <si>
    <t>S5</t>
  </si>
  <si>
    <t>PTO days</t>
  </si>
  <si>
    <t>Total hours</t>
  </si>
  <si>
    <t>Shifts reduced</t>
  </si>
  <si>
    <t>Here is what the shift validation area is doing--</t>
  </si>
  <si>
    <t>8 hrs</t>
  </si>
  <si>
    <t>16 hrs</t>
  </si>
  <si>
    <t>24 hrs</t>
  </si>
  <si>
    <t>32 hrs</t>
  </si>
  <si>
    <t>40 hrs</t>
  </si>
  <si>
    <r>
      <rPr>
        <rFont val="Arial"/>
        <b/>
        <color rgb="FF000000"/>
        <sz val="12.0"/>
      </rPr>
      <t>Column, Shift Checker:</t>
    </r>
    <r>
      <rPr>
        <rFont val="Arial"/>
        <color rgb="FF000000"/>
        <sz val="12.0"/>
      </rPr>
      <t xml:space="preserve"> This formula checks whether an employee has been scheduled for too many shifts in a month based on their role or classification.
It counts all filled cells in the row, then subtracts any PTO and Request days to get the true number of worked shifts. It then compares that number against a maximum shift limit that varies by role</t>
    </r>
  </si>
  <si>
    <t>48 hrs</t>
  </si>
  <si>
    <t>56 hrs</t>
  </si>
  <si>
    <t>64 hrs</t>
  </si>
  <si>
    <t>72 hrs</t>
  </si>
  <si>
    <t>80 hrs</t>
  </si>
  <si>
    <r>
      <rPr>
        <rFont val="Arial"/>
        <b/>
        <color rgb="FF000000"/>
        <sz val="12.0"/>
      </rPr>
      <t>Column, 60hrs Violation:</t>
    </r>
    <r>
      <rPr>
        <rFont val="Arial"/>
        <color rgb="FF000000"/>
        <sz val="12.0"/>
      </rPr>
      <t xml:space="preserve"> This formula checks whether an employee has been scheduled for more than 60 hours in any 7-consecutive-day period throughout the month.</t>
    </r>
  </si>
  <si>
    <t>88 hrs</t>
  </si>
  <si>
    <t>96 hrs</t>
  </si>
  <si>
    <t>104 hrs</t>
  </si>
  <si>
    <r>
      <rPr>
        <rFont val="Arial"/>
        <b/>
        <color rgb="FF000000"/>
        <sz val="12.0"/>
      </rPr>
      <t>Column, PTO Violation:</t>
    </r>
    <r>
      <rPr>
        <rFont val="Arial"/>
        <color rgb="FF000000"/>
        <sz val="12.0"/>
      </rPr>
      <t xml:space="preserve"> This row tracks an employee's PTO usage and schedule compliance. It scans their assigned days across the month, counts how many days are marked as PTO, and based on that count determines how many shifts they are required to have off. It then checks if the number of empty (unscheduled) days meets or exceeds that required shift reduction — returning "OK" if the requirement is met, or "Violation" if there are not enough days off to match their PTO entitlement.</t>
    </r>
  </si>
  <si>
    <t>112 hrs</t>
  </si>
  <si>
    <t>120 hrs</t>
  </si>
  <si>
    <t>128 hrs</t>
  </si>
  <si>
    <t>136 hrs</t>
  </si>
  <si>
    <t>144 hrs</t>
  </si>
  <si>
    <r>
      <rPr>
        <rFont val="Arial"/>
        <b/>
        <color rgb="FF000000"/>
        <sz val="12.0"/>
      </rPr>
      <t>Column, # of shifts:</t>
    </r>
    <r>
      <rPr>
        <rFont val="Arial"/>
        <color rgb="FF000000"/>
        <sz val="12.0"/>
      </rPr>
      <t xml:space="preserve"> Counts the total number of shifts actually worked in the month.</t>
    </r>
  </si>
  <si>
    <t>152 hrs</t>
  </si>
  <si>
    <t>160 hrs</t>
  </si>
  <si>
    <t>Quinn-5/21 to 5/26</t>
  </si>
  <si>
    <t>Michelle-5/4 to 5/6</t>
  </si>
  <si>
    <t>Leah-5/28 to 5/31</t>
  </si>
  <si>
    <t>Melissa-5/4 to 5/8</t>
  </si>
  <si>
    <t>Sam A-5/21 to 5/26</t>
  </si>
  <si>
    <t>Brennan-5/10 to 5/18 and 5/24 to 5/31 (Comlex 3 on 5/27 and 5/28)</t>
  </si>
  <si>
    <t>Orius-5/6 to 5/12 (USMLE on 5/6 and 5/7)</t>
  </si>
  <si>
    <t>Raj-5/11 to 5/17</t>
  </si>
  <si>
    <t>Sam M-5/23 to 5/29</t>
  </si>
  <si>
    <t>Things to note:</t>
  </si>
  <si>
    <t>Leah and Jamie are on Trauma for block 11 which will end 5/5.</t>
  </si>
  <si>
    <t>Retreat May 6th?</t>
  </si>
  <si>
    <t>ICEP on May 28th</t>
  </si>
  <si>
    <t>Days</t>
  </si>
  <si>
    <t>4/10,4/24</t>
  </si>
  <si>
    <t>4/17, 4/26-5/3</t>
  </si>
  <si>
    <t>4/25, 4/26, 4/24</t>
  </si>
  <si>
    <t>4/16-19, 4/27-5/3</t>
  </si>
  <si>
    <t>Mulk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</si>
</sst>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m"/>
    <numFmt numFmtId="165" formatCode="dddd"/>
    <numFmt numFmtId="166" formatCode="h:mm am/pm"/>
    <numFmt numFmtId="167" formatCode="m/d"/>
  </numFmts>
  <fonts count="32">
    <font>
      <sz val="10.0"/>
      <color rgb="FF000000"/>
      <name val="Arial"/>
      <scheme val="minor"/>
    </font>
    <font>
      <sz val="11.0"/>
      <color rgb="FF000000"/>
      <name val="Calibri"/>
    </font>
    <font>
      <sz val="8.0"/>
      <color rgb="FF000000"/>
      <name val="Calibri"/>
    </font>
    <font>
      <sz val="11.0"/>
      <color theme="1"/>
      <name val="Calibri"/>
    </font>
    <font>
      <sz val="9.0"/>
      <color rgb="FF000000"/>
      <name val="Calibri"/>
    </font>
    <font>
      <sz val="9.0"/>
      <color rgb="FFFFFFFF"/>
      <name val="Calibri"/>
    </font>
    <font>
      <color theme="1"/>
      <name val="Arial"/>
      <scheme val="minor"/>
    </font>
    <font/>
    <font>
      <sz val="8.0"/>
      <color theme="1"/>
      <name val="Calibri"/>
    </font>
    <font>
      <sz val="9.0"/>
      <color theme="1"/>
      <name val="Calibri"/>
    </font>
    <font>
      <sz val="9.0"/>
      <color theme="1"/>
      <name val="Arial"/>
    </font>
    <font>
      <sz val="9.0"/>
      <color rgb="FF000000"/>
      <name val="&quot;SF Mono&quot;"/>
    </font>
    <font>
      <sz val="9.0"/>
      <color rgb="FF666666"/>
      <name val="Calibri"/>
    </font>
    <font>
      <sz val="9.0"/>
      <color rgb="FF434343"/>
      <name val="Calibri"/>
    </font>
    <font>
      <strike/>
      <sz val="8.0"/>
      <color theme="1"/>
      <name val="Calibri"/>
    </font>
    <font>
      <strike/>
      <sz val="9.0"/>
      <color theme="1"/>
      <name val="Calibri"/>
    </font>
    <font>
      <strike/>
      <sz val="9.0"/>
      <color rgb="FF000000"/>
      <name val="Calibri"/>
    </font>
    <font>
      <sz val="8.0"/>
      <color theme="1"/>
      <name val="Arial"/>
    </font>
    <font>
      <color theme="1"/>
      <name val="Arial"/>
    </font>
    <font>
      <sz val="7.0"/>
      <color theme="1"/>
      <name val="Calibri"/>
    </font>
    <font>
      <b/>
      <sz val="11.0"/>
      <color theme="1"/>
      <name val="Calibri"/>
    </font>
    <font>
      <strike/>
      <sz val="7.0"/>
      <color theme="1"/>
      <name val="Calibri"/>
    </font>
    <font>
      <sz val="7.0"/>
      <color rgb="FF000000"/>
      <name val="Calibri"/>
    </font>
    <font>
      <sz val="7.0"/>
      <color theme="1"/>
      <name val="Arial"/>
      <scheme val="minor"/>
    </font>
    <font>
      <sz val="9.0"/>
      <color rgb="FF000000"/>
      <name val="&quot;Google Sans Mono&quot;"/>
    </font>
    <font>
      <b/>
      <sz val="7.0"/>
      <color rgb="FF000000"/>
      <name val="Calibri"/>
    </font>
    <font>
      <strike/>
      <sz val="11.0"/>
      <color theme="1"/>
      <name val="Calibri"/>
    </font>
    <font>
      <b/>
      <sz val="11.0"/>
      <color rgb="FF000000"/>
      <name val="Calibri"/>
    </font>
    <font>
      <sz val="11.0"/>
      <color theme="1"/>
      <name val="&quot;Anthropic Sans&quot;"/>
    </font>
    <font>
      <sz val="12.0"/>
      <color rgb="FF000000"/>
      <name val="Arial"/>
      <scheme val="minor"/>
    </font>
    <font>
      <sz val="11.0"/>
      <color rgb="FF222222"/>
      <name val="Arial"/>
    </font>
    <font>
      <b/>
      <color theme="1"/>
      <name val="Arial"/>
    </font>
  </fonts>
  <fills count="26">
    <fill>
      <patternFill patternType="none"/>
    </fill>
    <fill>
      <patternFill patternType="lightGray"/>
    </fill>
    <fill>
      <patternFill patternType="solid">
        <fgColor rgb="FFA2C4C9"/>
        <bgColor rgb="FFA2C4C9"/>
      </patternFill>
    </fill>
    <fill>
      <patternFill patternType="solid">
        <fgColor theme="0"/>
        <bgColor theme="0"/>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C9DAF8"/>
        <bgColor rgb="FFC9DAF8"/>
      </patternFill>
    </fill>
    <fill>
      <patternFill patternType="solid">
        <fgColor rgb="FFA4C2F4"/>
        <bgColor rgb="FFA4C2F4"/>
      </patternFill>
    </fill>
    <fill>
      <patternFill patternType="solid">
        <fgColor rgb="FFDBE5F1"/>
        <bgColor rgb="FFDBE5F1"/>
      </patternFill>
    </fill>
    <fill>
      <patternFill patternType="solid">
        <fgColor rgb="FFF3F3F3"/>
        <bgColor rgb="FFF3F3F3"/>
      </patternFill>
    </fill>
    <fill>
      <patternFill patternType="solid">
        <fgColor rgb="FFEFEFEF"/>
        <bgColor rgb="FFEFEFEF"/>
      </patternFill>
    </fill>
    <fill>
      <patternFill patternType="solid">
        <fgColor rgb="FF9900FF"/>
        <bgColor rgb="FF9900FF"/>
      </patternFill>
    </fill>
    <fill>
      <patternFill patternType="solid">
        <fgColor rgb="FFFF0000"/>
        <bgColor rgb="FFFF0000"/>
      </patternFill>
    </fill>
    <fill>
      <patternFill patternType="solid">
        <fgColor rgb="FFF4C7C3"/>
        <bgColor rgb="FFF4C7C3"/>
      </patternFill>
    </fill>
    <fill>
      <patternFill patternType="solid">
        <fgColor rgb="FF434343"/>
        <bgColor rgb="FF434343"/>
      </patternFill>
    </fill>
    <fill>
      <patternFill patternType="solid">
        <fgColor rgb="FFD9D9D9"/>
        <bgColor rgb="FFD9D9D9"/>
      </patternFill>
    </fill>
    <fill>
      <patternFill patternType="solid">
        <fgColor rgb="FF0000FF"/>
        <bgColor rgb="FF0000FF"/>
      </patternFill>
    </fill>
    <fill>
      <patternFill patternType="solid">
        <fgColor rgb="FF00FF00"/>
        <bgColor rgb="FF00FF00"/>
      </patternFill>
    </fill>
    <fill>
      <patternFill patternType="solid">
        <fgColor rgb="FFFFF2CC"/>
        <bgColor rgb="FFFFF2CC"/>
      </patternFill>
    </fill>
    <fill>
      <patternFill patternType="solid">
        <fgColor rgb="FFF1C232"/>
        <bgColor rgb="FFF1C232"/>
      </patternFill>
    </fill>
    <fill>
      <patternFill patternType="solid">
        <fgColor rgb="FFC27BA0"/>
        <bgColor rgb="FFC27BA0"/>
      </patternFill>
    </fill>
    <fill>
      <patternFill patternType="solid">
        <fgColor rgb="FF45818E"/>
        <bgColor rgb="FF45818E"/>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1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2" numFmtId="0" xfId="0" applyAlignment="1" applyFont="1">
      <alignment horizontal="center" readingOrder="0" vertical="bottom"/>
    </xf>
    <xf borderId="0" fillId="0" fontId="1" numFmtId="164" xfId="0" applyAlignment="1" applyFont="1" applyNumberFormat="1">
      <alignment horizontal="center" readingOrder="0" vertical="bottom"/>
    </xf>
    <xf borderId="1" fillId="0" fontId="1" numFmtId="164" xfId="0" applyAlignment="1" applyBorder="1" applyFont="1" applyNumberFormat="1">
      <alignment horizontal="center" readingOrder="0" vertical="bottom"/>
    </xf>
    <xf borderId="0" fillId="0" fontId="3" numFmtId="0" xfId="0" applyAlignment="1" applyFont="1">
      <alignment horizontal="center"/>
    </xf>
    <xf borderId="0" fillId="3" fontId="3" numFmtId="0" xfId="0" applyFill="1" applyFont="1"/>
    <xf borderId="0" fillId="0" fontId="3" numFmtId="0" xfId="0" applyFont="1"/>
    <xf borderId="0" fillId="4" fontId="4" numFmtId="0" xfId="0" applyAlignment="1" applyFill="1" applyFont="1">
      <alignment horizontal="center" readingOrder="0" vertical="bottom"/>
    </xf>
    <xf borderId="0" fillId="0" fontId="4" numFmtId="164" xfId="0" applyAlignment="1" applyFont="1" applyNumberFormat="1">
      <alignment horizontal="center" readingOrder="0" vertical="bottom"/>
    </xf>
    <xf borderId="0" fillId="5" fontId="4" numFmtId="0" xfId="0" applyAlignment="1" applyFill="1" applyFont="1">
      <alignment horizontal="center" readingOrder="0" vertical="bottom"/>
    </xf>
    <xf borderId="0" fillId="6" fontId="4" numFmtId="0" xfId="0" applyAlignment="1" applyFill="1" applyFont="1">
      <alignment horizontal="center" readingOrder="0" vertical="bottom"/>
    </xf>
    <xf borderId="0" fillId="7" fontId="4" numFmtId="0" xfId="0" applyAlignment="1" applyFill="1" applyFont="1">
      <alignment horizontal="center" readingOrder="0" vertical="bottom"/>
    </xf>
    <xf borderId="0" fillId="8" fontId="5" numFmtId="0" xfId="0" applyAlignment="1" applyFill="1" applyFont="1">
      <alignment horizontal="center" readingOrder="0" vertical="bottom"/>
    </xf>
    <xf borderId="0" fillId="9" fontId="5" numFmtId="0" xfId="0" applyAlignment="1" applyFill="1" applyFont="1">
      <alignment horizontal="center" readingOrder="0" vertical="bottom"/>
    </xf>
    <xf borderId="2" fillId="10" fontId="6" numFmtId="0" xfId="0" applyAlignment="1" applyBorder="1" applyFill="1" applyFont="1">
      <alignment horizontal="center" readingOrder="0" vertical="center"/>
    </xf>
    <xf borderId="3" fillId="0" fontId="7" numFmtId="0" xfId="0" applyBorder="1" applyFont="1"/>
    <xf borderId="4" fillId="0" fontId="7" numFmtId="0" xfId="0" applyBorder="1" applyFont="1"/>
    <xf borderId="3" fillId="11" fontId="6" numFmtId="0" xfId="0" applyAlignment="1" applyBorder="1" applyFill="1" applyFont="1">
      <alignment horizontal="center" readingOrder="0" vertical="center"/>
    </xf>
    <xf borderId="5" fillId="4" fontId="4" numFmtId="0" xfId="0" applyAlignment="1" applyBorder="1" applyFont="1">
      <alignment horizontal="center" readingOrder="0" vertical="bottom"/>
    </xf>
    <xf borderId="6" fillId="0" fontId="7" numFmtId="0" xfId="0" applyBorder="1" applyFont="1"/>
    <xf borderId="1" fillId="0" fontId="4" numFmtId="164" xfId="0" applyAlignment="1" applyBorder="1" applyFont="1" applyNumberFormat="1">
      <alignment horizontal="center" readingOrder="0" vertical="bottom"/>
    </xf>
    <xf borderId="7" fillId="0" fontId="7" numFmtId="0" xfId="0" applyBorder="1" applyFont="1"/>
    <xf borderId="8" fillId="0" fontId="7" numFmtId="0" xfId="0" applyBorder="1" applyFont="1"/>
    <xf borderId="9" fillId="0" fontId="7" numFmtId="0" xfId="0" applyBorder="1" applyFont="1"/>
    <xf borderId="1" fillId="0" fontId="4" numFmtId="0" xfId="0" applyAlignment="1" applyBorder="1" applyFont="1">
      <alignment horizontal="center" readingOrder="0" vertical="bottom"/>
    </xf>
    <xf borderId="1" fillId="0" fontId="2" numFmtId="164" xfId="0" applyAlignment="1" applyBorder="1" applyFont="1" applyNumberFormat="1">
      <alignment horizontal="center" readingOrder="0" vertical="bottom"/>
    </xf>
    <xf borderId="1" fillId="0" fontId="4" numFmtId="165" xfId="0" applyAlignment="1" applyBorder="1" applyFont="1" applyNumberFormat="1">
      <alignment horizontal="center" readingOrder="0" vertical="bottom"/>
    </xf>
    <xf borderId="1" fillId="4" fontId="4" numFmtId="165" xfId="0" applyAlignment="1" applyBorder="1" applyFont="1" applyNumberFormat="1">
      <alignment horizontal="center" readingOrder="0" vertical="bottom"/>
    </xf>
    <xf borderId="1" fillId="3" fontId="8" numFmtId="0" xfId="0" applyAlignment="1" applyBorder="1" applyFont="1">
      <alignment horizontal="center" readingOrder="0" vertical="bottom"/>
    </xf>
    <xf borderId="0" fillId="3" fontId="4" numFmtId="0" xfId="0" applyAlignment="1" applyFont="1">
      <alignment horizontal="center" readingOrder="0" vertical="bottom"/>
    </xf>
    <xf borderId="1" fillId="3" fontId="9" numFmtId="0" xfId="0" applyAlignment="1" applyBorder="1" applyFont="1">
      <alignment horizontal="center" vertical="bottom"/>
    </xf>
    <xf borderId="1" fillId="3" fontId="8" numFmtId="0" xfId="0" applyAlignment="1" applyBorder="1" applyFont="1">
      <alignment horizontal="center" vertical="bottom"/>
    </xf>
    <xf borderId="1" fillId="3" fontId="2" numFmtId="0" xfId="0" applyAlignment="1" applyBorder="1" applyFont="1">
      <alignment horizontal="center" readingOrder="0" vertical="bottom"/>
    </xf>
    <xf borderId="1" fillId="4" fontId="8" numFmtId="0" xfId="0" applyAlignment="1" applyBorder="1" applyFont="1">
      <alignment horizontal="center" readingOrder="0" vertical="bottom"/>
    </xf>
    <xf borderId="10" fillId="3" fontId="8" numFmtId="0" xfId="0" applyAlignment="1" applyBorder="1" applyFont="1">
      <alignment horizontal="center" readingOrder="0" shrinkToFit="0" vertical="bottom" wrapText="1"/>
    </xf>
    <xf borderId="10" fillId="4" fontId="8" numFmtId="0" xfId="0" applyAlignment="1" applyBorder="1" applyFont="1">
      <alignment horizontal="center" shrinkToFit="0" vertical="bottom" wrapText="1"/>
    </xf>
    <xf borderId="1" fillId="12" fontId="9" numFmtId="2" xfId="0" applyAlignment="1" applyBorder="1" applyFill="1" applyFont="1" applyNumberFormat="1">
      <alignment horizontal="center" vertical="bottom"/>
    </xf>
    <xf borderId="6" fillId="4" fontId="8" numFmtId="0" xfId="0" applyAlignment="1" applyBorder="1" applyFont="1">
      <alignment horizontal="center" readingOrder="0" vertical="bottom"/>
    </xf>
    <xf borderId="1" fillId="4" fontId="4" numFmtId="0" xfId="0" applyAlignment="1" applyBorder="1" applyFont="1">
      <alignment horizontal="center" readingOrder="0" shrinkToFit="0" vertical="bottom" wrapText="1"/>
    </xf>
    <xf borderId="1" fillId="13" fontId="9" numFmtId="0" xfId="0" applyAlignment="1" applyBorder="1" applyFill="1" applyFont="1">
      <alignment horizontal="center" readingOrder="0" vertical="bottom"/>
    </xf>
    <xf borderId="11" fillId="0" fontId="7" numFmtId="0" xfId="0" applyBorder="1" applyFont="1"/>
    <xf borderId="12" fillId="12" fontId="8" numFmtId="0" xfId="0" applyAlignment="1" applyBorder="1" applyFont="1">
      <alignment horizontal="center" readingOrder="0" vertical="bottom"/>
    </xf>
    <xf borderId="1" fillId="12" fontId="4" numFmtId="0" xfId="0" applyAlignment="1" applyBorder="1" applyFont="1">
      <alignment horizontal="center" readingOrder="0" vertical="bottom"/>
    </xf>
    <xf borderId="1" fillId="14" fontId="9" numFmtId="49" xfId="0" applyAlignment="1" applyBorder="1" applyFill="1" applyFont="1" applyNumberFormat="1">
      <alignment horizontal="center" readingOrder="0" vertical="bottom"/>
    </xf>
    <xf borderId="6" fillId="14" fontId="10" numFmtId="49" xfId="0" applyAlignment="1" applyBorder="1" applyFont="1" applyNumberFormat="1">
      <alignment horizontal="center" readingOrder="0" vertical="bottom"/>
    </xf>
    <xf borderId="1" fillId="0" fontId="6" numFmtId="0" xfId="0" applyAlignment="1" applyBorder="1" applyFont="1">
      <alignment readingOrder="0"/>
    </xf>
    <xf borderId="1" fillId="3" fontId="11" numFmtId="0" xfId="0" applyBorder="1" applyFont="1"/>
    <xf borderId="1" fillId="4" fontId="11" numFmtId="0" xfId="0" applyBorder="1" applyFont="1"/>
    <xf borderId="1" fillId="4" fontId="1" numFmtId="0" xfId="0" applyAlignment="1" applyBorder="1" applyFont="1">
      <alignment horizontal="center" vertical="bottom"/>
    </xf>
    <xf borderId="1" fillId="12" fontId="9" numFmtId="0" xfId="0" applyAlignment="1" applyBorder="1" applyFont="1">
      <alignment horizontal="center" readingOrder="0" vertical="bottom"/>
    </xf>
    <xf borderId="0" fillId="4" fontId="11" numFmtId="0" xfId="0" applyFont="1"/>
    <xf borderId="0" fillId="3" fontId="11" numFmtId="0" xfId="0" applyFont="1"/>
    <xf borderId="13" fillId="12" fontId="8" numFmtId="0" xfId="0" applyAlignment="1" applyBorder="1" applyFont="1">
      <alignment horizontal="center" readingOrder="0" vertical="bottom"/>
    </xf>
    <xf borderId="0" fillId="12" fontId="9" numFmtId="0" xfId="0" applyAlignment="1" applyFont="1">
      <alignment horizontal="center" readingOrder="0" vertical="bottom"/>
    </xf>
    <xf borderId="1" fillId="15" fontId="9" numFmtId="0" xfId="0" applyAlignment="1" applyBorder="1" applyFill="1" applyFont="1">
      <alignment horizontal="center" readingOrder="0"/>
    </xf>
    <xf borderId="1" fillId="14" fontId="9" numFmtId="166" xfId="0" applyAlignment="1" applyBorder="1" applyFont="1" applyNumberFormat="1">
      <alignment horizontal="center" readingOrder="0" vertical="bottom"/>
    </xf>
    <xf borderId="1" fillId="14" fontId="4" numFmtId="166" xfId="0" applyAlignment="1" applyBorder="1" applyFont="1" applyNumberFormat="1">
      <alignment horizontal="center" readingOrder="0" vertical="bottom"/>
    </xf>
    <xf borderId="1" fillId="14" fontId="9" numFmtId="0" xfId="0" applyAlignment="1" applyBorder="1" applyFont="1">
      <alignment horizontal="center" readingOrder="0" vertical="bottom"/>
    </xf>
    <xf borderId="1" fillId="14" fontId="9" numFmtId="49" xfId="0" applyAlignment="1" applyBorder="1" applyFont="1" applyNumberFormat="1">
      <alignment horizontal="center" readingOrder="0"/>
    </xf>
    <xf borderId="1" fillId="14" fontId="4" numFmtId="0" xfId="0" applyAlignment="1" applyBorder="1" applyFont="1">
      <alignment horizontal="center" readingOrder="0" vertical="bottom"/>
    </xf>
    <xf borderId="1" fillId="14" fontId="12" numFmtId="0" xfId="0" applyAlignment="1" applyBorder="1" applyFont="1">
      <alignment horizontal="center" readingOrder="0" vertical="bottom"/>
    </xf>
    <xf borderId="1" fillId="14" fontId="9" numFmtId="166" xfId="0" applyAlignment="1" applyBorder="1" applyFont="1" applyNumberFormat="1">
      <alignment horizontal="center" readingOrder="0"/>
    </xf>
    <xf borderId="1" fillId="14" fontId="13" numFmtId="166" xfId="0" applyAlignment="1" applyBorder="1" applyFont="1" applyNumberFormat="1">
      <alignment horizontal="center" readingOrder="0"/>
    </xf>
    <xf borderId="1" fillId="14" fontId="13" numFmtId="0" xfId="0" applyAlignment="1" applyBorder="1" applyFont="1">
      <alignment horizontal="center" readingOrder="0"/>
    </xf>
    <xf borderId="9" fillId="12" fontId="8" numFmtId="0" xfId="0" applyAlignment="1" applyBorder="1" applyFont="1">
      <alignment horizontal="center" readingOrder="0" vertical="bottom"/>
    </xf>
    <xf borderId="1" fillId="5" fontId="2" numFmtId="0" xfId="0" applyAlignment="1" applyBorder="1" applyFont="1">
      <alignment horizontal="center" readingOrder="0" vertical="bottom"/>
    </xf>
    <xf borderId="1" fillId="5" fontId="9" numFmtId="0" xfId="0" applyAlignment="1" applyBorder="1" applyFont="1">
      <alignment horizontal="center" readingOrder="0" vertical="bottom"/>
    </xf>
    <xf borderId="1" fillId="16" fontId="9" numFmtId="0" xfId="0" applyAlignment="1" applyBorder="1" applyFill="1" applyFont="1">
      <alignment horizontal="center" readingOrder="0" vertical="bottom"/>
    </xf>
    <xf borderId="1" fillId="14" fontId="9" numFmtId="0" xfId="0" applyAlignment="1" applyBorder="1" applyFont="1">
      <alignment horizontal="center" readingOrder="0"/>
    </xf>
    <xf borderId="1" fillId="14" fontId="8" numFmtId="166" xfId="0" applyAlignment="1" applyBorder="1" applyFont="1" applyNumberFormat="1">
      <alignment horizontal="center" readingOrder="0" vertical="bottom"/>
    </xf>
    <xf borderId="1" fillId="17" fontId="8" numFmtId="0" xfId="0" applyAlignment="1" applyBorder="1" applyFill="1" applyFont="1">
      <alignment horizontal="center" readingOrder="0" vertical="bottom"/>
    </xf>
    <xf borderId="1" fillId="17" fontId="9" numFmtId="0" xfId="0" applyAlignment="1" applyBorder="1" applyFont="1">
      <alignment horizontal="center" readingOrder="0" vertical="bottom"/>
    </xf>
    <xf borderId="11" fillId="17" fontId="9" numFmtId="0" xfId="0" applyAlignment="1" applyBorder="1" applyFont="1">
      <alignment horizontal="center" readingOrder="0" vertical="bottom"/>
    </xf>
    <xf borderId="1" fillId="14" fontId="9" numFmtId="166" xfId="0" applyAlignment="1" applyBorder="1" applyFont="1" applyNumberFormat="1">
      <alignment horizontal="center" vertical="bottom"/>
    </xf>
    <xf borderId="6" fillId="14" fontId="9" numFmtId="0" xfId="0" applyAlignment="1" applyBorder="1" applyFont="1">
      <alignment horizontal="center" readingOrder="0" vertical="bottom"/>
    </xf>
    <xf borderId="6" fillId="14" fontId="9" numFmtId="166" xfId="0" applyAlignment="1" applyBorder="1" applyFont="1" applyNumberFormat="1">
      <alignment horizontal="center" vertical="bottom"/>
    </xf>
    <xf borderId="6" fillId="0" fontId="6" numFmtId="0" xfId="0" applyAlignment="1" applyBorder="1" applyFont="1">
      <alignment readingOrder="0"/>
    </xf>
    <xf borderId="1" fillId="14" fontId="8" numFmtId="0" xfId="0" applyAlignment="1" applyBorder="1" applyFont="1">
      <alignment horizontal="center" readingOrder="0" vertical="bottom"/>
    </xf>
    <xf borderId="6" fillId="14" fontId="10" numFmtId="166" xfId="0" applyAlignment="1" applyBorder="1" applyFont="1" applyNumberFormat="1">
      <alignment horizontal="center" readingOrder="0" vertical="bottom"/>
    </xf>
    <xf borderId="0" fillId="14" fontId="6" numFmtId="0" xfId="0" applyFont="1"/>
    <xf borderId="1" fillId="18" fontId="9" numFmtId="2" xfId="0" applyAlignment="1" applyBorder="1" applyFill="1" applyFont="1" applyNumberFormat="1">
      <alignment horizontal="center" vertical="bottom"/>
    </xf>
    <xf borderId="1" fillId="18" fontId="14" numFmtId="0" xfId="0" applyAlignment="1" applyBorder="1" applyFont="1">
      <alignment horizontal="center" readingOrder="0" vertical="bottom"/>
    </xf>
    <xf borderId="1" fillId="18" fontId="15" numFmtId="0" xfId="0" applyAlignment="1" applyBorder="1" applyFont="1">
      <alignment horizontal="center" readingOrder="0" vertical="bottom"/>
    </xf>
    <xf borderId="1" fillId="18" fontId="15" numFmtId="166" xfId="0" applyAlignment="1" applyBorder="1" applyFont="1" applyNumberFormat="1">
      <alignment horizontal="center" readingOrder="0" vertical="bottom"/>
    </xf>
    <xf borderId="1" fillId="18" fontId="16" numFmtId="166" xfId="0" applyAlignment="1" applyBorder="1" applyFont="1" applyNumberFormat="1">
      <alignment horizontal="center" readingOrder="0" vertical="bottom"/>
    </xf>
    <xf borderId="1" fillId="18" fontId="1" numFmtId="0" xfId="0" applyAlignment="1" applyBorder="1" applyFont="1">
      <alignment horizontal="center" vertical="bottom"/>
    </xf>
    <xf borderId="1" fillId="18" fontId="8" numFmtId="0" xfId="0" applyAlignment="1" applyBorder="1" applyFont="1">
      <alignment horizontal="center" vertical="bottom"/>
    </xf>
    <xf borderId="1" fillId="18" fontId="9" numFmtId="0" xfId="0" applyAlignment="1" applyBorder="1" applyFont="1">
      <alignment horizontal="center" vertical="bottom"/>
    </xf>
    <xf borderId="1" fillId="18" fontId="4" numFmtId="0" xfId="0" applyAlignment="1" applyBorder="1" applyFont="1">
      <alignment horizontal="center" vertical="bottom"/>
    </xf>
    <xf borderId="1" fillId="18" fontId="9" numFmtId="0" xfId="0" applyAlignment="1" applyBorder="1" applyFont="1">
      <alignment horizontal="center"/>
    </xf>
    <xf borderId="1" fillId="4" fontId="9" numFmtId="2" xfId="0" applyAlignment="1" applyBorder="1" applyFont="1" applyNumberFormat="1">
      <alignment horizontal="center" vertical="bottom"/>
    </xf>
    <xf borderId="1" fillId="7" fontId="17" numFmtId="0" xfId="0" applyAlignment="1" applyBorder="1" applyFont="1">
      <alignment horizontal="center" readingOrder="0" vertical="bottom"/>
    </xf>
    <xf borderId="6" fillId="14" fontId="10" numFmtId="0" xfId="0" applyAlignment="1" applyBorder="1" applyFont="1">
      <alignment readingOrder="0" vertical="bottom"/>
    </xf>
    <xf borderId="1" fillId="19" fontId="4" numFmtId="166" xfId="0" applyAlignment="1" applyBorder="1" applyFill="1" applyFont="1" applyNumberFormat="1">
      <alignment horizontal="center" readingOrder="0" vertical="bottom"/>
    </xf>
    <xf borderId="1" fillId="19" fontId="9" numFmtId="166" xfId="0" applyAlignment="1" applyBorder="1" applyFont="1" applyNumberFormat="1">
      <alignment horizontal="center" readingOrder="0" vertical="bottom"/>
    </xf>
    <xf borderId="1" fillId="19" fontId="4" numFmtId="0" xfId="0" applyAlignment="1" applyBorder="1" applyFont="1">
      <alignment horizontal="center" readingOrder="0" vertical="bottom"/>
    </xf>
    <xf borderId="6" fillId="19" fontId="9" numFmtId="0" xfId="0" applyAlignment="1" applyBorder="1" applyFont="1">
      <alignment readingOrder="0" vertical="bottom"/>
    </xf>
    <xf borderId="1" fillId="19" fontId="9" numFmtId="166" xfId="0" applyAlignment="1" applyBorder="1" applyFont="1" applyNumberFormat="1">
      <alignment horizontal="right" readingOrder="0" vertical="bottom"/>
    </xf>
    <xf borderId="6" fillId="19" fontId="9" numFmtId="166" xfId="0" applyAlignment="1" applyBorder="1" applyFont="1" applyNumberFormat="1">
      <alignment readingOrder="0" vertical="bottom"/>
    </xf>
    <xf borderId="6" fillId="19" fontId="10" numFmtId="0" xfId="0" applyAlignment="1" applyBorder="1" applyFont="1">
      <alignment readingOrder="0" vertical="bottom"/>
    </xf>
    <xf borderId="6" fillId="19" fontId="10" numFmtId="166" xfId="0" applyAlignment="1" applyBorder="1" applyFont="1" applyNumberFormat="1">
      <alignment readingOrder="0" vertical="bottom"/>
    </xf>
    <xf borderId="6" fillId="19" fontId="10" numFmtId="166" xfId="0" applyAlignment="1" applyBorder="1" applyFont="1" applyNumberFormat="1">
      <alignment horizontal="center" readingOrder="0" vertical="bottom"/>
    </xf>
    <xf borderId="1" fillId="19" fontId="10" numFmtId="0" xfId="0" applyAlignment="1" applyBorder="1" applyFont="1">
      <alignment horizontal="center" readingOrder="0" vertical="bottom"/>
    </xf>
    <xf borderId="6" fillId="14" fontId="10" numFmtId="166" xfId="0" applyAlignment="1" applyBorder="1" applyFont="1" applyNumberFormat="1">
      <alignment readingOrder="0" vertical="bottom"/>
    </xf>
    <xf borderId="1" fillId="19" fontId="9" numFmtId="0" xfId="0" applyAlignment="1" applyBorder="1" applyFont="1">
      <alignment horizontal="center" readingOrder="0" vertical="bottom"/>
    </xf>
    <xf borderId="1" fillId="19" fontId="4" numFmtId="20" xfId="0" applyAlignment="1" applyBorder="1" applyFont="1" applyNumberFormat="1">
      <alignment horizontal="center" readingOrder="0" vertical="bottom"/>
    </xf>
    <xf borderId="1" fillId="19" fontId="9" numFmtId="49" xfId="0" applyAlignment="1" applyBorder="1" applyFont="1" applyNumberFormat="1">
      <alignment horizontal="center" readingOrder="0" vertical="bottom"/>
    </xf>
    <xf borderId="1" fillId="19" fontId="10" numFmtId="0" xfId="0" applyAlignment="1" applyBorder="1" applyFont="1">
      <alignment readingOrder="0" vertical="bottom"/>
    </xf>
    <xf borderId="6" fillId="4" fontId="18" numFmtId="0" xfId="0" applyAlignment="1" applyBorder="1" applyFont="1">
      <alignment readingOrder="0" vertical="bottom"/>
    </xf>
    <xf borderId="1" fillId="4" fontId="18" numFmtId="0" xfId="0" applyAlignment="1" applyBorder="1" applyFont="1">
      <alignment readingOrder="0" vertical="bottom"/>
    </xf>
    <xf borderId="6" fillId="19" fontId="9" numFmtId="166" xfId="0" applyAlignment="1" applyBorder="1" applyFont="1" applyNumberFormat="1">
      <alignment horizontal="center" readingOrder="0" vertical="bottom"/>
    </xf>
    <xf borderId="6" fillId="19" fontId="10" numFmtId="0" xfId="0" applyAlignment="1" applyBorder="1" applyFont="1">
      <alignment horizontal="center" readingOrder="0" vertical="bottom"/>
    </xf>
    <xf borderId="1" fillId="7" fontId="17" numFmtId="0" xfId="0" applyAlignment="1" applyBorder="1" applyFont="1">
      <alignment horizontal="center" vertical="bottom"/>
    </xf>
    <xf borderId="6" fillId="14" fontId="10" numFmtId="0" xfId="0" applyAlignment="1" applyBorder="1" applyFont="1">
      <alignment vertical="bottom"/>
    </xf>
    <xf borderId="0" fillId="19" fontId="6" numFmtId="0" xfId="0" applyFont="1"/>
    <xf borderId="1" fillId="19" fontId="3" numFmtId="0" xfId="0" applyAlignment="1" applyBorder="1" applyFont="1">
      <alignment horizontal="center" readingOrder="0" vertical="bottom"/>
    </xf>
    <xf borderId="1" fillId="19" fontId="1" numFmtId="0" xfId="0" applyAlignment="1" applyBorder="1" applyFont="1">
      <alignment horizontal="center" readingOrder="0" vertical="bottom"/>
    </xf>
    <xf borderId="6" fillId="19" fontId="9" numFmtId="0" xfId="0" applyAlignment="1" applyBorder="1" applyFont="1">
      <alignment horizontal="center" readingOrder="0" vertical="bottom"/>
    </xf>
    <xf borderId="6" fillId="14" fontId="10" numFmtId="0" xfId="0" applyAlignment="1" applyBorder="1" applyFont="1">
      <alignment horizontal="center" readingOrder="0" vertical="bottom"/>
    </xf>
    <xf borderId="0" fillId="3" fontId="19" numFmtId="0" xfId="0" applyAlignment="1" applyFont="1">
      <alignment horizontal="center"/>
    </xf>
    <xf borderId="0" fillId="3" fontId="6" numFmtId="0" xfId="0" applyFont="1"/>
    <xf borderId="0" fillId="3" fontId="10" numFmtId="166" xfId="0" applyAlignment="1" applyFont="1" applyNumberFormat="1">
      <alignment readingOrder="0" vertical="bottom"/>
    </xf>
    <xf borderId="0" fillId="3" fontId="10" numFmtId="0" xfId="0" applyAlignment="1" applyFont="1">
      <alignment readingOrder="0" vertical="bottom"/>
    </xf>
    <xf borderId="0" fillId="3" fontId="9" numFmtId="0" xfId="0" applyAlignment="1" applyFont="1">
      <alignment readingOrder="0" vertical="bottom"/>
    </xf>
    <xf borderId="0" fillId="3" fontId="10" numFmtId="0" xfId="0" applyAlignment="1" applyFont="1">
      <alignment vertical="bottom"/>
    </xf>
    <xf borderId="1" fillId="14" fontId="3" numFmtId="0" xfId="0" applyAlignment="1" applyBorder="1" applyFont="1">
      <alignment horizontal="center" readingOrder="0" vertical="bottom"/>
    </xf>
    <xf borderId="1" fillId="14" fontId="1" numFmtId="0" xfId="0" applyAlignment="1" applyBorder="1" applyFont="1">
      <alignment horizontal="center" readingOrder="0" vertical="bottom"/>
    </xf>
    <xf borderId="6" fillId="14" fontId="9" numFmtId="166" xfId="0" applyAlignment="1" applyBorder="1" applyFont="1" applyNumberFormat="1">
      <alignment readingOrder="0" vertical="bottom"/>
    </xf>
    <xf borderId="6" fillId="14" fontId="9" numFmtId="0" xfId="0" applyAlignment="1" applyBorder="1" applyFont="1">
      <alignment readingOrder="0" vertical="bottom"/>
    </xf>
    <xf borderId="6" fillId="14" fontId="9" numFmtId="166" xfId="0" applyAlignment="1" applyBorder="1" applyFont="1" applyNumberFormat="1">
      <alignment horizontal="center" readingOrder="0" vertical="bottom"/>
    </xf>
    <xf borderId="0" fillId="3" fontId="3" numFmtId="0" xfId="0" applyAlignment="1" applyFont="1">
      <alignment horizontal="center" vertical="bottom"/>
    </xf>
    <xf borderId="0" fillId="3" fontId="19" numFmtId="0" xfId="0" applyAlignment="1" applyFont="1">
      <alignment horizontal="center" readingOrder="0"/>
    </xf>
    <xf borderId="0" fillId="0" fontId="8" numFmtId="0" xfId="0" applyAlignment="1" applyFont="1">
      <alignment horizontal="center"/>
    </xf>
    <xf borderId="0" fillId="0" fontId="3" numFmtId="0" xfId="0" applyAlignment="1" applyFont="1">
      <alignment horizontal="center" readingOrder="0"/>
    </xf>
    <xf borderId="0" fillId="0" fontId="1" numFmtId="0" xfId="0" applyAlignment="1" applyFont="1">
      <alignment horizontal="center" readingOrder="0"/>
    </xf>
    <xf borderId="0" fillId="4" fontId="20" numFmtId="0" xfId="0" applyAlignment="1" applyFont="1">
      <alignment horizontal="center" vertical="bottom"/>
    </xf>
    <xf borderId="14" fillId="4" fontId="3" numFmtId="0" xfId="0" applyAlignment="1" applyBorder="1" applyFont="1">
      <alignment horizontal="center" vertical="bottom"/>
    </xf>
    <xf borderId="0" fillId="0" fontId="3" numFmtId="0" xfId="0" applyAlignment="1" applyFont="1">
      <alignment horizontal="center"/>
    </xf>
    <xf borderId="0" fillId="3" fontId="21" numFmtId="0" xfId="0" applyAlignment="1" applyFont="1">
      <alignment horizontal="center" readingOrder="0"/>
    </xf>
    <xf borderId="0" fillId="3" fontId="6" numFmtId="0" xfId="0" applyAlignment="1" applyFont="1">
      <alignment readingOrder="0"/>
    </xf>
    <xf borderId="0" fillId="3" fontId="19" numFmtId="0" xfId="0" applyAlignment="1" applyFont="1">
      <alignment horizontal="center" readingOrder="0" vertical="bottom"/>
    </xf>
    <xf borderId="0" fillId="0" fontId="18" numFmtId="0" xfId="0" applyAlignment="1" applyFont="1">
      <alignment vertical="bottom"/>
    </xf>
    <xf borderId="0" fillId="3" fontId="18" numFmtId="0" xfId="0" applyAlignment="1" applyFont="1">
      <alignment vertical="bottom"/>
    </xf>
    <xf borderId="1" fillId="3" fontId="19" numFmtId="0" xfId="0" applyAlignment="1" applyBorder="1" applyFont="1">
      <alignment horizontal="center" vertical="bottom"/>
    </xf>
    <xf borderId="0" fillId="3" fontId="19" numFmtId="0" xfId="0" applyAlignment="1" applyFont="1">
      <alignment horizontal="center" vertical="bottom"/>
    </xf>
    <xf borderId="0" fillId="0" fontId="19" numFmtId="0" xfId="0" applyAlignment="1" applyFont="1">
      <alignment horizontal="center"/>
    </xf>
    <xf borderId="1" fillId="3" fontId="6" numFmtId="0" xfId="0" applyAlignment="1" applyBorder="1" applyFont="1">
      <alignment horizontal="center" readingOrder="0"/>
    </xf>
    <xf borderId="1" fillId="3" fontId="3" numFmtId="0" xfId="0" applyAlignment="1" applyBorder="1" applyFont="1">
      <alignment horizontal="center" readingOrder="0" vertical="bottom"/>
    </xf>
    <xf borderId="0" fillId="3" fontId="9" numFmtId="0" xfId="0" applyAlignment="1" applyFont="1">
      <alignment horizontal="center" readingOrder="0"/>
    </xf>
    <xf borderId="1" fillId="0" fontId="19" numFmtId="0" xfId="0" applyAlignment="1" applyBorder="1" applyFont="1">
      <alignment horizontal="center"/>
    </xf>
    <xf borderId="0" fillId="0" fontId="8" numFmtId="0" xfId="0" applyAlignment="1" applyFont="1">
      <alignment horizontal="center" readingOrder="0"/>
    </xf>
    <xf borderId="0" fillId="3" fontId="19" numFmtId="0" xfId="0" applyAlignment="1" applyFont="1">
      <alignment horizontal="center"/>
    </xf>
    <xf borderId="0" fillId="3" fontId="22" numFmtId="0" xfId="0" applyAlignment="1" applyFont="1">
      <alignment horizontal="center" readingOrder="0"/>
    </xf>
    <xf borderId="0" fillId="0" fontId="23" numFmtId="0" xfId="0" applyFont="1"/>
    <xf borderId="0" fillId="3" fontId="24" numFmtId="0" xfId="0" applyFont="1"/>
    <xf borderId="1" fillId="0" fontId="19" numFmtId="0" xfId="0" applyAlignment="1" applyBorder="1" applyFont="1">
      <alignment horizontal="center"/>
    </xf>
    <xf borderId="1" fillId="0" fontId="9" numFmtId="0" xfId="0" applyAlignment="1" applyBorder="1" applyFont="1">
      <alignment horizontal="center" readingOrder="0"/>
    </xf>
    <xf borderId="1" fillId="0" fontId="4" numFmtId="0" xfId="0" applyAlignment="1" applyBorder="1" applyFont="1">
      <alignment horizontal="center" readingOrder="0"/>
    </xf>
    <xf borderId="0" fillId="4" fontId="19" numFmtId="0" xfId="0" applyAlignment="1" applyFont="1">
      <alignment horizontal="center" vertical="bottom"/>
    </xf>
    <xf borderId="0" fillId="3" fontId="4" numFmtId="0" xfId="0" applyAlignment="1" applyFont="1">
      <alignment horizontal="center" readingOrder="0"/>
    </xf>
    <xf borderId="0" fillId="4" fontId="24" numFmtId="0" xfId="0" applyFont="1"/>
    <xf borderId="0" fillId="4" fontId="24" numFmtId="0" xfId="0" applyAlignment="1" applyFont="1">
      <alignment horizontal="center"/>
    </xf>
    <xf borderId="0" fillId="3" fontId="4" numFmtId="10" xfId="0" applyAlignment="1" applyFont="1" applyNumberFormat="1">
      <alignment horizontal="center"/>
    </xf>
    <xf borderId="0" fillId="3" fontId="4" numFmtId="10" xfId="0" applyAlignment="1" applyFont="1" applyNumberFormat="1">
      <alignment horizontal="center" readingOrder="0"/>
    </xf>
    <xf borderId="0" fillId="0" fontId="19" numFmtId="0" xfId="0" applyAlignment="1" applyFont="1">
      <alignment horizontal="center" vertical="bottom"/>
    </xf>
    <xf borderId="0" fillId="0" fontId="8" numFmtId="0" xfId="0" applyAlignment="1" applyFont="1">
      <alignment horizontal="center" readingOrder="0" vertical="bottom"/>
    </xf>
    <xf borderId="1" fillId="0" fontId="25" numFmtId="0" xfId="0" applyAlignment="1" applyBorder="1" applyFont="1">
      <alignment horizontal="center" readingOrder="0"/>
    </xf>
    <xf borderId="1" fillId="4" fontId="4" numFmtId="0" xfId="0" applyAlignment="1" applyBorder="1" applyFont="1">
      <alignment horizontal="center" readingOrder="0"/>
    </xf>
    <xf borderId="0" fillId="3" fontId="9" numFmtId="0" xfId="0" applyAlignment="1" applyFont="1">
      <alignment horizontal="center"/>
    </xf>
    <xf borderId="1" fillId="4" fontId="4" numFmtId="10" xfId="0" applyAlignment="1" applyBorder="1" applyFont="1" applyNumberFormat="1">
      <alignment horizontal="center"/>
    </xf>
    <xf borderId="1" fillId="4" fontId="4" numFmtId="10" xfId="0" applyAlignment="1" applyBorder="1" applyFont="1" applyNumberFormat="1">
      <alignment horizontal="center" readingOrder="0"/>
    </xf>
    <xf borderId="0" fillId="4" fontId="3" numFmtId="0" xfId="0" applyAlignment="1" applyFont="1">
      <alignment horizontal="center" vertical="bottom"/>
    </xf>
    <xf borderId="1" fillId="0" fontId="9" numFmtId="0" xfId="0" applyAlignment="1" applyBorder="1" applyFont="1">
      <alignment horizontal="center"/>
    </xf>
    <xf borderId="1" fillId="0" fontId="4" numFmtId="0" xfId="0" applyAlignment="1" applyBorder="1" applyFont="1">
      <alignment horizontal="center"/>
    </xf>
    <xf borderId="0" fillId="4" fontId="3" numFmtId="0" xfId="0" applyAlignment="1" applyFont="1">
      <alignment vertical="bottom"/>
    </xf>
    <xf borderId="0" fillId="3" fontId="3" numFmtId="0" xfId="0" applyAlignment="1" applyFont="1">
      <alignment horizontal="center" vertical="bottom"/>
    </xf>
    <xf borderId="0" fillId="3" fontId="3" numFmtId="166" xfId="0" applyAlignment="1" applyFont="1" applyNumberFormat="1">
      <alignment horizontal="center" readingOrder="0" vertical="bottom"/>
    </xf>
    <xf borderId="0" fillId="0" fontId="3" numFmtId="0" xfId="0" applyAlignment="1" applyFont="1">
      <alignment horizontal="center" vertical="bottom"/>
    </xf>
    <xf borderId="0" fillId="0" fontId="8" numFmtId="0" xfId="0" applyAlignment="1" applyFont="1">
      <alignment horizontal="center" vertical="bottom"/>
    </xf>
    <xf borderId="0" fillId="0" fontId="26" numFmtId="0" xfId="0" applyAlignment="1" applyFont="1">
      <alignment horizontal="center" readingOrder="0" vertical="bottom"/>
    </xf>
    <xf borderId="0" fillId="0" fontId="1" numFmtId="0" xfId="0" applyAlignment="1" applyFont="1">
      <alignment horizontal="center" vertical="bottom"/>
    </xf>
    <xf borderId="0" fillId="4" fontId="20" numFmtId="0" xfId="0" applyAlignment="1" applyFont="1">
      <alignment horizontal="center" readingOrder="0" vertical="bottom"/>
    </xf>
    <xf borderId="0" fillId="15" fontId="3" numFmtId="0" xfId="0" applyAlignment="1" applyFont="1">
      <alignment horizontal="center" readingOrder="0" vertical="bottom"/>
    </xf>
    <xf borderId="14" fillId="16" fontId="3" numFmtId="0" xfId="0" applyAlignment="1" applyBorder="1" applyFont="1">
      <alignment horizontal="center" readingOrder="0" vertical="bottom"/>
    </xf>
    <xf borderId="0" fillId="20" fontId="3" numFmtId="0" xfId="0" applyAlignment="1" applyFill="1" applyFont="1">
      <alignment horizontal="center" readingOrder="0"/>
    </xf>
    <xf borderId="0" fillId="21" fontId="1" numFmtId="0" xfId="0" applyAlignment="1" applyFill="1" applyFont="1">
      <alignment horizontal="center" readingOrder="0" vertical="bottom"/>
    </xf>
    <xf borderId="0" fillId="0" fontId="3" numFmtId="0" xfId="0" applyAlignment="1" applyFont="1">
      <alignment horizontal="center" readingOrder="0" vertical="bottom"/>
    </xf>
    <xf borderId="0" fillId="0" fontId="3" numFmtId="166" xfId="0" applyAlignment="1" applyFont="1" applyNumberFormat="1">
      <alignment horizontal="center" readingOrder="0" vertical="bottom"/>
    </xf>
    <xf borderId="0" fillId="4" fontId="3" numFmtId="0" xfId="0" applyAlignment="1" applyFont="1">
      <alignment horizontal="center" readingOrder="0" vertical="bottom"/>
    </xf>
    <xf borderId="0" fillId="0" fontId="1" numFmtId="0" xfId="0" applyAlignment="1" applyFont="1">
      <alignment horizontal="center" readingOrder="0" vertical="bottom"/>
    </xf>
    <xf borderId="0" fillId="22" fontId="3" numFmtId="0" xfId="0" applyAlignment="1" applyFill="1" applyFont="1">
      <alignment horizontal="center" readingOrder="0" vertical="bottom"/>
    </xf>
    <xf borderId="0" fillId="10" fontId="3" numFmtId="0" xfId="0" applyAlignment="1" applyFont="1">
      <alignment horizontal="center" vertical="bottom"/>
    </xf>
    <xf borderId="0" fillId="2" fontId="3" numFmtId="0" xfId="0" applyAlignment="1" applyFont="1">
      <alignment horizontal="center" vertical="bottom"/>
    </xf>
    <xf borderId="0" fillId="23" fontId="3" numFmtId="0" xfId="0" applyAlignment="1" applyFill="1" applyFont="1">
      <alignment horizontal="center" vertical="bottom"/>
    </xf>
    <xf borderId="0" fillId="24" fontId="1" numFmtId="0" xfId="0" applyAlignment="1" applyFill="1" applyFont="1">
      <alignment horizontal="center" vertical="bottom"/>
    </xf>
    <xf borderId="0" fillId="25" fontId="3" numFmtId="0" xfId="0" applyAlignment="1" applyFill="1" applyFont="1">
      <alignment horizontal="center" vertical="bottom"/>
    </xf>
    <xf borderId="0" fillId="0" fontId="3" numFmtId="0" xfId="0" applyAlignment="1" applyFont="1">
      <alignment horizontal="center" readingOrder="0" shrinkToFit="0" vertical="bottom" wrapText="0"/>
    </xf>
    <xf borderId="1" fillId="0" fontId="20" numFmtId="0" xfId="0" applyAlignment="1" applyBorder="1" applyFont="1">
      <alignment horizontal="center" readingOrder="0" vertical="bottom"/>
    </xf>
    <xf borderId="1" fillId="0" fontId="27" numFmtId="0" xfId="0" applyAlignment="1" applyBorder="1" applyFont="1">
      <alignment horizontal="center" readingOrder="0" vertical="bottom"/>
    </xf>
    <xf borderId="1" fillId="0" fontId="3" numFmtId="0" xfId="0" applyAlignment="1" applyBorder="1" applyFont="1">
      <alignment horizontal="center" readingOrder="0" vertical="bottom"/>
    </xf>
    <xf borderId="1" fillId="0" fontId="6" numFmtId="0" xfId="0" applyAlignment="1" applyBorder="1" applyFont="1">
      <alignment horizontal="center" readingOrder="0"/>
    </xf>
    <xf borderId="1" fillId="0" fontId="3" numFmtId="20" xfId="0" applyAlignment="1" applyBorder="1" applyFont="1" applyNumberFormat="1">
      <alignment horizontal="center" readingOrder="0" vertical="bottom"/>
    </xf>
    <xf borderId="1" fillId="0" fontId="1" numFmtId="0" xfId="0" applyAlignment="1" applyBorder="1" applyFont="1">
      <alignment horizontal="center" readingOrder="0" vertical="bottom"/>
    </xf>
    <xf borderId="1" fillId="0" fontId="28" numFmtId="0" xfId="0" applyAlignment="1" applyBorder="1" applyFont="1">
      <alignment horizontal="center" readingOrder="0"/>
    </xf>
    <xf borderId="0" fillId="4" fontId="24" numFmtId="0" xfId="0" applyAlignment="1" applyFont="1">
      <alignment readingOrder="0"/>
    </xf>
    <xf borderId="0" fillId="0" fontId="29" numFmtId="0" xfId="0" applyAlignment="1" applyFont="1">
      <alignment readingOrder="0" shrinkToFit="0" vertical="top" wrapText="1"/>
    </xf>
    <xf borderId="0" fillId="0" fontId="28" numFmtId="0" xfId="0" applyAlignment="1" applyFont="1">
      <alignment horizontal="center" readingOrder="0"/>
    </xf>
    <xf borderId="0" fillId="0" fontId="30" numFmtId="0" xfId="0" applyAlignment="1" applyFont="1">
      <alignment readingOrder="0"/>
    </xf>
    <xf borderId="0" fillId="0" fontId="31" numFmtId="0" xfId="0" applyAlignment="1" applyFont="1">
      <alignment vertical="bottom"/>
    </xf>
    <xf borderId="0" fillId="0" fontId="31" numFmtId="0" xfId="0" applyAlignment="1" applyFont="1">
      <alignment vertical="bottom"/>
    </xf>
    <xf borderId="0" fillId="0" fontId="18" numFmtId="0" xfId="0" applyAlignment="1" applyFont="1">
      <alignment horizontal="right" vertical="bottom"/>
    </xf>
    <xf borderId="0" fillId="0" fontId="18" numFmtId="167" xfId="0" applyAlignment="1" applyFont="1" applyNumberFormat="1">
      <alignment horizontal="right" vertical="bottom"/>
    </xf>
    <xf borderId="0" fillId="0" fontId="18" numFmtId="0" xfId="0" applyAlignment="1" applyFont="1">
      <alignment vertical="bottom"/>
    </xf>
    <xf borderId="0" fillId="0" fontId="18" numFmtId="0" xfId="0" applyAlignment="1" applyFont="1">
      <alignment readingOrder="0" vertical="bottom"/>
    </xf>
    <xf borderId="0" fillId="0" fontId="18" numFmtId="0" xfId="0" applyAlignment="1" applyFont="1">
      <alignment horizontal="right" vertical="bottom"/>
    </xf>
  </cellXfs>
  <cellStyles count="1">
    <cellStyle xfId="0" name="Normal" builtinId="0"/>
  </cellStyles>
  <dxfs count="9">
    <dxf>
      <font/>
      <fill>
        <patternFill patternType="solid">
          <fgColor rgb="FF000000"/>
          <bgColor rgb="FF000000"/>
        </patternFill>
      </fill>
      <border/>
    </dxf>
    <dxf>
      <font/>
      <fill>
        <patternFill patternType="solid">
          <fgColor rgb="FF4A86E8"/>
          <bgColor rgb="FF4A86E8"/>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3C78D8"/>
          <bgColor rgb="FF3C78D8"/>
        </patternFill>
      </fill>
      <border/>
    </dxf>
    <dxf>
      <font/>
      <fill>
        <patternFill patternType="solid">
          <fgColor rgb="FFF4C7C3"/>
          <bgColor rgb="FFF4C7C3"/>
        </patternFill>
      </fill>
      <border/>
    </dxf>
    <dxf>
      <font/>
      <fill>
        <patternFill patternType="solid">
          <fgColor rgb="FFFF9900"/>
          <bgColor rgb="FFFF9900"/>
        </patternFill>
      </fill>
      <border/>
    </dxf>
    <dxf>
      <font/>
      <fill>
        <patternFill patternType="solid">
          <fgColor rgb="FFFCE5CD"/>
          <bgColor rgb="FFFCE5CD"/>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ice Lee" id="{1a52dd8f-cc3d-4be4-a6e3-d6b8565a624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4" dT="2026-04-04T23:23:49.00" personId="{1a52dd8f-cc3d-4be4-a6e3-d6b8565a6247}" id="{793ca37d-fcc5-4ec2-8881-21f99b30b59f}" done="0">
    <x18tc:text xml:space="preserve">Taking Step 3</x18tc:text>
  </x18tc:threadedComment>
  <x18tc:threadedComment ref="F24" dT="2026-04-04T23:23:55.00" personId="{1a52dd8f-cc3d-4be4-a6e3-d6b8565a6247}" id="{94df8bc1-0f3d-4258-899a-79e4ec7afe32}" done="0">
    <x18tc:text xml:space="preserve">Taking Step 3</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hidden="1" min="1" max="1" width="16.88"/>
    <col customWidth="1" min="2" max="2" width="17.38"/>
    <col customWidth="1" min="3" max="3" width="12.0"/>
    <col customWidth="1" min="4" max="4" width="10.5"/>
    <col customWidth="1" min="5" max="5" width="10.0"/>
    <col customWidth="1" min="6" max="7" width="9.38"/>
    <col customWidth="1" min="8" max="8" width="10.0"/>
    <col customWidth="1" min="9" max="10" width="9.38"/>
    <col customWidth="1" min="11" max="11" width="8.75"/>
    <col customWidth="1" min="12" max="12" width="9.0"/>
    <col customWidth="1" min="13" max="13" width="9.63"/>
    <col customWidth="1" min="14" max="15" width="9.38"/>
    <col customWidth="1" min="16" max="16" width="8.75"/>
    <col customWidth="1" min="17" max="18" width="8.88"/>
    <col customWidth="1" min="19" max="19" width="9.38"/>
    <col customWidth="1" min="20" max="20" width="9.63"/>
    <col customWidth="1" min="21" max="21" width="8.75"/>
    <col customWidth="1" min="22" max="22" width="8.63"/>
    <col customWidth="1" min="23" max="23" width="8.75"/>
    <col customWidth="1" min="24" max="25" width="9.0"/>
    <col customWidth="1" min="26" max="26" width="9.38"/>
    <col customWidth="1" min="27" max="27" width="9.63"/>
    <col customWidth="1" min="28" max="29" width="9.38"/>
    <col customWidth="1" min="30" max="30" width="8.75"/>
    <col customWidth="1" min="31" max="31" width="8.63"/>
    <col customWidth="1" min="32" max="32" width="5.25"/>
    <col customWidth="1" min="33" max="33" width="5.5"/>
    <col customWidth="1" min="34" max="34" width="9.75"/>
    <col customWidth="1" min="35" max="35" width="7.5"/>
    <col customWidth="1" min="36" max="37" width="9.38"/>
    <col customWidth="1" hidden="1" min="38" max="40" width="9.38"/>
    <col customWidth="1" hidden="1" min="41" max="43" width="8.88"/>
    <col customWidth="1" hidden="1" min="44" max="52" width="9.75"/>
    <col customWidth="1" min="53" max="60" width="9.75"/>
  </cols>
  <sheetData>
    <row r="1" hidden="1">
      <c r="A1" s="1"/>
      <c r="B1" s="2"/>
      <c r="C1" s="3"/>
      <c r="D1" s="3"/>
      <c r="E1" s="3"/>
      <c r="F1" s="3"/>
      <c r="G1" s="3"/>
      <c r="H1" s="3"/>
      <c r="I1" s="3"/>
      <c r="J1" s="3"/>
      <c r="K1" s="3"/>
      <c r="L1" s="3"/>
      <c r="M1" s="3"/>
      <c r="N1" s="3"/>
      <c r="O1" s="3"/>
      <c r="P1" s="3"/>
      <c r="Q1" s="3"/>
      <c r="R1" s="3"/>
      <c r="S1" s="3"/>
      <c r="T1" s="3"/>
      <c r="U1" s="3"/>
      <c r="V1" s="3"/>
      <c r="W1" s="3"/>
      <c r="X1" s="3"/>
      <c r="Y1" s="3"/>
      <c r="Z1" s="3"/>
      <c r="AA1" s="3"/>
      <c r="AB1" s="4"/>
      <c r="AC1" s="4"/>
      <c r="AD1" s="3"/>
      <c r="AE1" s="3"/>
      <c r="AF1" s="5"/>
      <c r="AG1" s="5"/>
      <c r="AH1" s="6"/>
      <c r="AI1" s="6"/>
      <c r="AJ1" s="7"/>
      <c r="AK1" s="7"/>
      <c r="AL1" s="7"/>
      <c r="AM1" s="7"/>
      <c r="AN1" s="7"/>
      <c r="AO1" s="3"/>
      <c r="AP1" s="3"/>
      <c r="AQ1" s="3"/>
      <c r="AR1" s="7"/>
      <c r="AS1" s="7"/>
      <c r="AT1" s="7"/>
      <c r="AU1" s="7"/>
      <c r="AV1" s="7"/>
      <c r="AW1" s="7"/>
      <c r="AX1" s="7"/>
      <c r="AY1" s="7"/>
      <c r="AZ1" s="7"/>
      <c r="BA1" s="7"/>
      <c r="BB1" s="7"/>
      <c r="BC1" s="7"/>
      <c r="BD1" s="7"/>
      <c r="BE1" s="7"/>
      <c r="BF1" s="7"/>
      <c r="BG1" s="7"/>
      <c r="BH1" s="7"/>
    </row>
    <row r="2">
      <c r="A2" s="8"/>
      <c r="B2" s="8"/>
      <c r="C2" s="9"/>
      <c r="D2" s="10" t="s">
        <v>0</v>
      </c>
      <c r="J2" s="11" t="s">
        <v>1</v>
      </c>
      <c r="Q2" s="12" t="s">
        <v>2</v>
      </c>
      <c r="X2" s="13" t="s">
        <v>3</v>
      </c>
      <c r="AE2" s="14" t="s">
        <v>4</v>
      </c>
      <c r="AF2" s="5"/>
      <c r="AG2" s="5"/>
      <c r="AH2" s="15" t="s">
        <v>5</v>
      </c>
      <c r="AI2" s="16"/>
      <c r="AJ2" s="16"/>
      <c r="AK2" s="17"/>
      <c r="AL2" s="18" t="s">
        <v>6</v>
      </c>
      <c r="AM2" s="16"/>
      <c r="AN2" s="16"/>
      <c r="AO2" s="16"/>
      <c r="AP2" s="16"/>
      <c r="AQ2" s="16"/>
      <c r="AR2" s="16"/>
      <c r="AS2" s="16"/>
      <c r="AT2" s="16"/>
      <c r="AU2" s="16"/>
      <c r="AV2" s="16"/>
      <c r="AW2" s="16"/>
      <c r="AX2" s="16"/>
      <c r="AY2" s="16"/>
      <c r="AZ2" s="17"/>
      <c r="BA2" s="7"/>
      <c r="BB2" s="7"/>
      <c r="BC2" s="7"/>
      <c r="BD2" s="7"/>
      <c r="BE2" s="7"/>
      <c r="BF2" s="7"/>
      <c r="BG2" s="7"/>
      <c r="BH2" s="7"/>
    </row>
    <row r="3">
      <c r="A3" s="19"/>
      <c r="B3" s="20"/>
      <c r="C3" s="21"/>
      <c r="D3" s="21">
        <v>46146.0</v>
      </c>
      <c r="E3" s="21">
        <v>46147.0</v>
      </c>
      <c r="F3" s="21">
        <v>46148.0</v>
      </c>
      <c r="G3" s="21">
        <v>46149.0</v>
      </c>
      <c r="H3" s="21">
        <v>46150.0</v>
      </c>
      <c r="I3" s="21">
        <v>46151.0</v>
      </c>
      <c r="J3" s="21">
        <v>46152.0</v>
      </c>
      <c r="K3" s="21">
        <v>46153.0</v>
      </c>
      <c r="L3" s="21">
        <v>46154.0</v>
      </c>
      <c r="M3" s="21">
        <v>46155.0</v>
      </c>
      <c r="N3" s="21">
        <v>46156.0</v>
      </c>
      <c r="O3" s="21">
        <v>46157.0</v>
      </c>
      <c r="P3" s="21">
        <v>46158.0</v>
      </c>
      <c r="Q3" s="21">
        <v>46159.0</v>
      </c>
      <c r="R3" s="21">
        <v>46160.0</v>
      </c>
      <c r="S3" s="21">
        <v>46161.0</v>
      </c>
      <c r="T3" s="21">
        <v>46162.0</v>
      </c>
      <c r="U3" s="21">
        <v>46163.0</v>
      </c>
      <c r="V3" s="21">
        <v>46164.0</v>
      </c>
      <c r="W3" s="21">
        <v>46165.0</v>
      </c>
      <c r="X3" s="21">
        <v>46166.0</v>
      </c>
      <c r="Y3" s="21">
        <v>46167.0</v>
      </c>
      <c r="Z3" s="21">
        <v>46168.0</v>
      </c>
      <c r="AA3" s="21">
        <v>46169.0</v>
      </c>
      <c r="AB3" s="21">
        <v>46170.0</v>
      </c>
      <c r="AC3" s="21">
        <v>46171.0</v>
      </c>
      <c r="AD3" s="21">
        <v>46172.0</v>
      </c>
      <c r="AE3" s="21">
        <v>46173.0</v>
      </c>
      <c r="AF3" s="5"/>
      <c r="AG3" s="5"/>
      <c r="AH3" s="22"/>
      <c r="AI3" s="23"/>
      <c r="AJ3" s="23"/>
      <c r="AK3" s="24"/>
      <c r="AL3" s="23"/>
      <c r="AM3" s="23"/>
      <c r="AN3" s="23"/>
      <c r="AO3" s="23"/>
      <c r="AP3" s="23"/>
      <c r="AQ3" s="23"/>
      <c r="AR3" s="23"/>
      <c r="AS3" s="23"/>
      <c r="AT3" s="23"/>
      <c r="AU3" s="23"/>
      <c r="AV3" s="23"/>
      <c r="AW3" s="23"/>
      <c r="AX3" s="23"/>
      <c r="AY3" s="23"/>
      <c r="AZ3" s="24"/>
      <c r="BA3" s="7"/>
      <c r="BB3" s="7"/>
      <c r="BC3" s="7"/>
      <c r="BD3" s="7"/>
      <c r="BE3" s="7"/>
      <c r="BF3" s="7"/>
      <c r="BG3" s="7"/>
      <c r="BH3" s="7"/>
    </row>
    <row r="4">
      <c r="A4" s="25" t="s">
        <v>7</v>
      </c>
      <c r="B4" s="26"/>
      <c r="C4" s="25"/>
      <c r="D4" s="27">
        <f t="shared" ref="D4:S4" si="1">D3</f>
        <v>46146</v>
      </c>
      <c r="E4" s="27">
        <f t="shared" si="1"/>
        <v>46147</v>
      </c>
      <c r="F4" s="27">
        <f t="shared" si="1"/>
        <v>46148</v>
      </c>
      <c r="G4" s="27">
        <f t="shared" si="1"/>
        <v>46149</v>
      </c>
      <c r="H4" s="27">
        <f t="shared" si="1"/>
        <v>46150</v>
      </c>
      <c r="I4" s="27">
        <f t="shared" si="1"/>
        <v>46151</v>
      </c>
      <c r="J4" s="27">
        <f t="shared" si="1"/>
        <v>46152</v>
      </c>
      <c r="K4" s="27">
        <f t="shared" si="1"/>
        <v>46153</v>
      </c>
      <c r="L4" s="27">
        <f t="shared" si="1"/>
        <v>46154</v>
      </c>
      <c r="M4" s="27">
        <f t="shared" si="1"/>
        <v>46155</v>
      </c>
      <c r="N4" s="27">
        <f t="shared" si="1"/>
        <v>46156</v>
      </c>
      <c r="O4" s="27">
        <f t="shared" si="1"/>
        <v>46157</v>
      </c>
      <c r="P4" s="27">
        <f t="shared" si="1"/>
        <v>46158</v>
      </c>
      <c r="Q4" s="28">
        <f t="shared" si="1"/>
        <v>46159</v>
      </c>
      <c r="R4" s="28">
        <f t="shared" si="1"/>
        <v>46160</v>
      </c>
      <c r="S4" s="28">
        <f t="shared" si="1"/>
        <v>46161</v>
      </c>
      <c r="T4" s="29" t="s">
        <v>8</v>
      </c>
      <c r="U4" s="28">
        <f t="shared" ref="U4:AE4" si="2">U3</f>
        <v>46163</v>
      </c>
      <c r="V4" s="27">
        <f t="shared" si="2"/>
        <v>46164</v>
      </c>
      <c r="W4" s="27">
        <f t="shared" si="2"/>
        <v>46165</v>
      </c>
      <c r="X4" s="27">
        <f t="shared" si="2"/>
        <v>46166</v>
      </c>
      <c r="Y4" s="27">
        <f t="shared" si="2"/>
        <v>46167</v>
      </c>
      <c r="Z4" s="27">
        <f t="shared" si="2"/>
        <v>46168</v>
      </c>
      <c r="AA4" s="27">
        <f t="shared" si="2"/>
        <v>46169</v>
      </c>
      <c r="AB4" s="27">
        <f t="shared" si="2"/>
        <v>46170</v>
      </c>
      <c r="AC4" s="27">
        <f t="shared" si="2"/>
        <v>46171</v>
      </c>
      <c r="AD4" s="27">
        <f t="shared" si="2"/>
        <v>46172</v>
      </c>
      <c r="AE4" s="27">
        <f t="shared" si="2"/>
        <v>46173</v>
      </c>
      <c r="AH4" s="6"/>
      <c r="AI4" s="6"/>
      <c r="AJ4" s="30"/>
      <c r="AK4" s="30"/>
      <c r="AL4" s="10" t="s">
        <v>0</v>
      </c>
      <c r="AO4" s="11" t="s">
        <v>9</v>
      </c>
      <c r="AR4" s="12" t="s">
        <v>2</v>
      </c>
      <c r="AU4" s="13" t="s">
        <v>3</v>
      </c>
      <c r="AX4" s="14" t="s">
        <v>4</v>
      </c>
    </row>
    <row r="5">
      <c r="A5" s="31"/>
      <c r="B5" s="29" t="s">
        <v>10</v>
      </c>
      <c r="C5" s="32"/>
      <c r="D5" s="29"/>
      <c r="E5" s="29"/>
      <c r="F5" s="29"/>
      <c r="G5" s="29"/>
      <c r="H5" s="33"/>
      <c r="I5" s="29"/>
      <c r="J5" s="29"/>
      <c r="K5" s="29"/>
      <c r="L5" s="29"/>
      <c r="M5" s="29"/>
      <c r="N5" s="33"/>
      <c r="O5" s="29"/>
      <c r="P5" s="29"/>
      <c r="Q5" s="29"/>
      <c r="R5" s="29"/>
      <c r="S5" s="29"/>
      <c r="T5" s="29"/>
      <c r="U5" s="29"/>
      <c r="V5" s="29"/>
      <c r="W5" s="29"/>
      <c r="X5" s="29"/>
      <c r="Y5" s="34"/>
      <c r="Z5" s="29"/>
      <c r="AA5" s="29"/>
      <c r="AB5" s="29"/>
      <c r="AC5" s="29"/>
      <c r="AD5" s="29"/>
      <c r="AE5" s="29"/>
      <c r="AF5" s="35" t="s">
        <v>11</v>
      </c>
      <c r="AG5" s="35" t="s">
        <v>12</v>
      </c>
      <c r="AH5" s="35" t="s">
        <v>13</v>
      </c>
      <c r="AI5" s="35" t="s">
        <v>14</v>
      </c>
      <c r="AJ5" s="35" t="s">
        <v>15</v>
      </c>
      <c r="AK5" s="35" t="s">
        <v>16</v>
      </c>
      <c r="AL5" s="35" t="s">
        <v>17</v>
      </c>
      <c r="AM5" s="35" t="s">
        <v>18</v>
      </c>
      <c r="AN5" s="35" t="s">
        <v>19</v>
      </c>
      <c r="AO5" s="35" t="s">
        <v>20</v>
      </c>
      <c r="AP5" s="35" t="s">
        <v>18</v>
      </c>
      <c r="AQ5" s="35" t="s">
        <v>19</v>
      </c>
      <c r="AR5" s="35" t="s">
        <v>21</v>
      </c>
      <c r="AS5" s="35" t="s">
        <v>18</v>
      </c>
      <c r="AT5" s="35" t="s">
        <v>19</v>
      </c>
      <c r="AU5" s="35" t="s">
        <v>22</v>
      </c>
      <c r="AV5" s="36" t="s">
        <v>18</v>
      </c>
      <c r="AW5" s="36" t="s">
        <v>19</v>
      </c>
      <c r="AX5" s="35" t="s">
        <v>23</v>
      </c>
      <c r="AY5" s="36" t="s">
        <v>18</v>
      </c>
      <c r="AZ5" s="36" t="s">
        <v>19</v>
      </c>
    </row>
    <row r="6">
      <c r="A6" s="37"/>
      <c r="B6" s="38"/>
      <c r="C6" s="39" t="s">
        <v>24</v>
      </c>
      <c r="D6" s="40">
        <f t="shared" ref="D6:AE6" si="3">countif($D$5:$AE$5,D5)</f>
        <v>0</v>
      </c>
      <c r="E6" s="40">
        <f t="shared" si="3"/>
        <v>0</v>
      </c>
      <c r="F6" s="40">
        <f t="shared" si="3"/>
        <v>0</v>
      </c>
      <c r="G6" s="40">
        <f t="shared" si="3"/>
        <v>0</v>
      </c>
      <c r="H6" s="40">
        <f t="shared" si="3"/>
        <v>0</v>
      </c>
      <c r="I6" s="40">
        <f t="shared" si="3"/>
        <v>0</v>
      </c>
      <c r="J6" s="40">
        <f t="shared" si="3"/>
        <v>0</v>
      </c>
      <c r="K6" s="40">
        <f t="shared" si="3"/>
        <v>0</v>
      </c>
      <c r="L6" s="40">
        <f t="shared" si="3"/>
        <v>0</v>
      </c>
      <c r="M6" s="40">
        <f t="shared" si="3"/>
        <v>0</v>
      </c>
      <c r="N6" s="40">
        <f t="shared" si="3"/>
        <v>0</v>
      </c>
      <c r="O6" s="40">
        <f t="shared" si="3"/>
        <v>0</v>
      </c>
      <c r="P6" s="40">
        <f t="shared" si="3"/>
        <v>0</v>
      </c>
      <c r="Q6" s="40">
        <f t="shared" si="3"/>
        <v>0</v>
      </c>
      <c r="R6" s="40">
        <f t="shared" si="3"/>
        <v>0</v>
      </c>
      <c r="S6" s="40">
        <f t="shared" si="3"/>
        <v>0</v>
      </c>
      <c r="T6" s="40">
        <f t="shared" si="3"/>
        <v>0</v>
      </c>
      <c r="U6" s="40">
        <f t="shared" si="3"/>
        <v>0</v>
      </c>
      <c r="V6" s="40">
        <f t="shared" si="3"/>
        <v>0</v>
      </c>
      <c r="W6" s="40">
        <f t="shared" si="3"/>
        <v>0</v>
      </c>
      <c r="X6" s="40">
        <f t="shared" si="3"/>
        <v>0</v>
      </c>
      <c r="Y6" s="40">
        <f t="shared" si="3"/>
        <v>0</v>
      </c>
      <c r="Z6" s="40">
        <f t="shared" si="3"/>
        <v>0</v>
      </c>
      <c r="AA6" s="40">
        <f t="shared" si="3"/>
        <v>0</v>
      </c>
      <c r="AB6" s="40">
        <f t="shared" si="3"/>
        <v>0</v>
      </c>
      <c r="AC6" s="40">
        <f t="shared" si="3"/>
        <v>0</v>
      </c>
      <c r="AD6" s="40">
        <f t="shared" si="3"/>
        <v>0</v>
      </c>
      <c r="AE6" s="40">
        <f t="shared" si="3"/>
        <v>0</v>
      </c>
      <c r="AF6" s="41"/>
      <c r="AG6" s="41"/>
      <c r="AH6" s="41"/>
      <c r="AI6" s="41"/>
      <c r="AJ6" s="41"/>
      <c r="AK6" s="41"/>
      <c r="AL6" s="41"/>
      <c r="AM6" s="41"/>
      <c r="AN6" s="41"/>
      <c r="AO6" s="41"/>
      <c r="AP6" s="41"/>
      <c r="AQ6" s="41"/>
      <c r="AR6" s="41"/>
      <c r="AS6" s="41"/>
      <c r="AT6" s="41"/>
      <c r="AU6" s="41"/>
      <c r="AV6" s="41"/>
      <c r="AW6" s="41"/>
      <c r="AX6" s="41"/>
      <c r="AY6" s="41"/>
      <c r="AZ6" s="41"/>
    </row>
    <row r="7">
      <c r="A7" s="37" t="str">
        <f t="shared" ref="A7:A13" si="4">#REF!</f>
        <v>#REF!</v>
      </c>
      <c r="B7" s="42" t="s">
        <v>25</v>
      </c>
      <c r="C7" s="43" t="s">
        <v>26</v>
      </c>
      <c r="D7" s="44"/>
      <c r="E7" s="44"/>
      <c r="F7" s="44"/>
      <c r="G7" s="45"/>
      <c r="H7" s="44"/>
      <c r="I7" s="44"/>
      <c r="J7" s="44"/>
      <c r="K7" s="44"/>
      <c r="L7" s="44"/>
      <c r="M7" s="44"/>
      <c r="N7" s="44"/>
      <c r="O7" s="44"/>
      <c r="P7" s="44"/>
      <c r="Q7" s="44"/>
      <c r="R7" s="44"/>
      <c r="S7" s="44"/>
      <c r="T7" s="44"/>
      <c r="U7" s="44"/>
      <c r="V7" s="44"/>
      <c r="W7" s="44"/>
      <c r="X7" s="44"/>
      <c r="Y7" s="44"/>
      <c r="Z7" s="44"/>
      <c r="AA7" s="44"/>
      <c r="AB7" s="44"/>
      <c r="AC7" s="44"/>
      <c r="AD7" s="44"/>
      <c r="AE7" s="44"/>
      <c r="AF7" s="46"/>
      <c r="AG7" s="46" t="s">
        <v>27</v>
      </c>
      <c r="AH7" s="47" t="str">
        <f t="shared" ref="AH7:AH31" si="5">IF(COUNTIF(D7:AE7,"&lt;&gt;")-COUNTIF(D7:AE7,"PTO")-COUNTIF(D7:AE7,"Request")&gt;IF(AF7="C",11,IF(AG7="PGY3",13,IF(AG7="PGY2",14,IF(OR(AG7="PGY1",AG7="IM"),15,15)))),"Violation","OK")</f>
        <v>OK</v>
      </c>
      <c r="AI7" s="47" t="str">
        <f t="shared" ref="AI7:AI31" si="6">IF(OR((COUNTIF(D7:J7,"&lt;&gt;")-COUNTIF(D7:J7,"PTO")-COUNTIF(D7:J7,"Request"))*12&gt;60,(COUNTIF(E7:K7,"&lt;&gt;")-COUNTIF(E7:K7,"PTO")-COUNTIF(E7:K7,"Request"))*12&gt;60,(COUNTIF(F7:L7,"&lt;&gt;")-COUNTIF(F7:L7,"PTO")-COUNTIF(F7:L7,"Request"))*12&gt;60,(COUNTIF(G7:M7,"&lt;&gt;")-COUNTIF(G7:M7,"PTO")-COUNTIF(G7:M7,"Request"))*12&gt;60,(COUNTIF(H7:N7,"&lt;&gt;")-COUNTIF(H7:N7,"PTO")-COUNTIF(H7:N7,"Request"))*12&gt;60,(COUNTIF(I7:O7,"&lt;&gt;")-COUNTIF(I7:O7,"PTO")-COUNTIF(I7:O7,"Request"))*12&gt;60,(COUNTIF(J7:P7,"&lt;&gt;")-COUNTIF(J7:P7,"PTO")-COUNTIF(J7:P7,"Request"))*12&gt;60,(COUNTIF(K7:Q7,"&lt;&gt;")-COUNTIF(K7:Q7,"PTO")-COUNTIF(K7:Q7,"Request"))*12&gt;60,(COUNTIF(L7:R7,"&lt;&gt;")-COUNTIF(L7:R7,"PTO")-COUNTIF(L7:R7,"Request"))*12&gt;60,(COUNTIF(M7:S7,"&lt;&gt;")-COUNTIF(M7:S7,"PTO")-COUNTIF(M7:S7,"Request"))*12&gt;60,(COUNTIF(N7:T7,"&lt;&gt;")-COUNTIF(N7:T7,"PTO")-COUNTIF(N7:T7,"Request"))*12&gt;60,(COUNTIF(O7:U7,"&lt;&gt;")-COUNTIF(O7:U7,"PTO")-COUNTIF(O7:U7,"Request"))*12&gt;60,(COUNTIF(P7:V7,"&lt;&gt;")-COUNTIF(P7:V7,"PTO")-COUNTIF(P7:V7,"Request"))*12&gt;60,(COUNTIF(Q7:W7,"&lt;&gt;")-COUNTIF(Q7:W7,"PTO")-COUNTIF(Q7:W7,"Request"))*12&gt;60,(COUNTIF(R7:X7,"&lt;&gt;")-COUNTIF(R7:X7,"PTO")-COUNTIF(R7:X7,"Request"))*12&gt;60,(COUNTIF(S7:Y7,"&lt;&gt;")-COUNTIF(S7:Y7,"PTO")-COUNTIF(S7:Y7,"Request"))*12&gt;60,(COUNTIF(T7:Z7,"&lt;&gt;")-COUNTIF(T7:Z7,"PTO")-COUNTIF(T7:Z7,"Request"))*12&gt;60,(COUNTIF(U7:AA7,"&lt;&gt;")-COUNTIF(U7:AA7,"PTO")-COUNTIF(U7:AA7,"Request"))*12&gt;60,(COUNTIF(V7:AB7,"&lt;&gt;")-COUNTIF(V7:AB7,"PTO")-COUNTIF(V7:AB7,"Request"))*12&gt;60,(COUNTIF(W7:AC7,"&lt;&gt;")-COUNTIF(W7:AC7,"PTO")-COUNTIF(W7:AC7,"Request"))*12&gt;60,(COUNTIF(X7:AD7,"&lt;&gt;")-COUNTIF(X7:AD7,"PTO")-COUNTIF(X7:AD7,"Request"))*12&gt;60,(COUNTIF(Y7:AE7,"&lt;&gt;")-COUNTIF(Y7:AE7,"PTO")-COUNTIF(Y7:AE7,"Request"))*12&gt;60),"Violation","OK")</f>
        <v>OK</v>
      </c>
      <c r="AJ7" s="48" t="str">
        <f t="shared" ref="AJ7:AJ31" si="7">IF(COUNTBLANK($D7:$AE7)&gt;=ROUND(COUNTIF($D7:$AE7,"PTO")*8/12,0),"OK","Violation")</f>
        <v>OK</v>
      </c>
      <c r="AK7" s="46">
        <f t="shared" ref="AK7:AK31" si="8">COUNTIF($D7:$AE7,"&lt;&gt;")-COUNTIF($D7:$AE7,"PTO")-COUNTIF($D7:$AE7,"Request")</f>
        <v>0</v>
      </c>
      <c r="AL7" s="49">
        <f t="shared" ref="AL7:AL31" si="9">COUNTIF(D7:I7,"PTO")</f>
        <v>0</v>
      </c>
      <c r="AM7" s="49">
        <f t="shared" ref="AM7:AM31" si="10">COUNTIF(D7:I7,"&lt;&gt;")-COUNTIF(D7:I7,"PTO")-COUNTIF(D7:I7,"Request")</f>
        <v>0</v>
      </c>
      <c r="AN7" s="40">
        <f t="shared" ref="AN7:AN31" si="11">SUMPRODUCT((D7:I7&lt;&gt;"EMPTY")*(D7:I7&lt;&gt;"")*(D7:I7&lt;&gt;"PTO")*(D7:I7&lt;&gt;"Request")*12)</f>
        <v>0</v>
      </c>
      <c r="AO7" s="49">
        <f t="shared" ref="AO7:AO31" si="12">COUNTIF(J7:P7,"PTO")</f>
        <v>0</v>
      </c>
      <c r="AP7" s="49">
        <f t="shared" ref="AP7:AP31" si="13">COUNTIF(J7:P7,"&lt;&gt;")-COUNTIF(J7:P7,"PTO")-COUNTIF(J7:P7,"Request")</f>
        <v>0</v>
      </c>
      <c r="AQ7" s="40">
        <f t="shared" ref="AQ7:AQ31" si="14">SUMPRODUCT((J7:P7&lt;&gt;"EMPTY")*(J7:P7&lt;&gt;"")*(J7:P7&lt;&gt;"PTO")*(J7:P7&lt;&gt;"Request")*12)</f>
        <v>0</v>
      </c>
      <c r="AR7" s="49">
        <f t="shared" ref="AR7:AR31" si="15">COUNTIF(Q7:W7,"PTO")</f>
        <v>0</v>
      </c>
      <c r="AS7" s="49">
        <f t="shared" ref="AS7:AS31" si="16">COUNTIF(Q7:W7,"&lt;&gt;")-COUNTIF(Q7:W7,"PTO")-COUNTIF(Q7:W7,"Request")</f>
        <v>0</v>
      </c>
      <c r="AT7" s="40">
        <f t="shared" ref="AT7:AT31" si="17">SUMPRODUCT((Q7:W7&lt;&gt;"EMPTY")*(Q7:W7&lt;&gt;"")*(Q7:W7&lt;&gt;"PTO")*(Q7:W7&lt;&gt;"Request")*12)</f>
        <v>0</v>
      </c>
      <c r="AU7" s="49">
        <f t="shared" ref="AU7:AU31" si="18">COUNTIF(X7:AD7,"PTO")</f>
        <v>0</v>
      </c>
      <c r="AV7" s="49">
        <f t="shared" ref="AV7:AV31" si="19">COUNTIF(X7:AD7,"&lt;&gt;")-COUNTIF(X7:AD7,"PTO")-COUNTIF(X7:AD7,"Request")</f>
        <v>0</v>
      </c>
      <c r="AW7" s="40">
        <f t="shared" ref="AW7:AW31" si="20">SUMPRODUCT((X7:AD7&lt;&gt;"EMPTY")*(X7:AD7&lt;&gt;"")*(X7:AD7&lt;&gt;"PTO")*(X7:AD7&lt;&gt;"Request")*12)</f>
        <v>0</v>
      </c>
      <c r="AX7" s="49">
        <f t="shared" ref="AX7:AX31" si="21">COUNTIF(AE7,"PTO")</f>
        <v>0</v>
      </c>
      <c r="AY7" s="49">
        <f t="shared" ref="AY7:AY31" si="22">COUNTIF(AE7,"&lt;&gt;")-COUNTIF(AE7,"PTO")-COUNTIF(AE7,"Request")</f>
        <v>0</v>
      </c>
      <c r="AZ7" s="50">
        <f t="shared" ref="AZ7:AZ31" si="23">SUMPRODUCT((AE7&lt;&gt;"EMPTY")*(AE7&lt;&gt;"")*(AE7&lt;&gt;"PTO")*(AE7&lt;&gt;"Request")*12)</f>
        <v>0</v>
      </c>
      <c r="BB7" s="51"/>
      <c r="BD7" s="52"/>
      <c r="BE7" s="52"/>
      <c r="BF7" s="52"/>
      <c r="BG7" s="52"/>
      <c r="BH7" s="52"/>
    </row>
    <row r="8">
      <c r="A8" s="37" t="str">
        <f t="shared" si="4"/>
        <v>#REF!</v>
      </c>
      <c r="B8" s="53" t="s">
        <v>28</v>
      </c>
      <c r="C8" s="54" t="s">
        <v>26</v>
      </c>
      <c r="D8" s="55" t="s">
        <v>29</v>
      </c>
      <c r="E8" s="56"/>
      <c r="F8" s="56"/>
      <c r="G8" s="56"/>
      <c r="H8" s="57"/>
      <c r="I8" s="56"/>
      <c r="J8" s="55" t="s">
        <v>29</v>
      </c>
      <c r="K8" s="56"/>
      <c r="L8" s="58"/>
      <c r="M8" s="56"/>
      <c r="N8" s="56"/>
      <c r="O8" s="56"/>
      <c r="P8" s="58"/>
      <c r="Q8" s="55" t="s">
        <v>29</v>
      </c>
      <c r="R8" s="58"/>
      <c r="S8" s="58"/>
      <c r="T8" s="58"/>
      <c r="U8" s="58"/>
      <c r="V8" s="58"/>
      <c r="W8" s="58"/>
      <c r="X8" s="58"/>
      <c r="Y8" s="56"/>
      <c r="Z8" s="58"/>
      <c r="AA8" s="58"/>
      <c r="AB8" s="56"/>
      <c r="AC8" s="56"/>
      <c r="AD8" s="56"/>
      <c r="AE8" s="56"/>
      <c r="AF8" s="46"/>
      <c r="AG8" s="46" t="s">
        <v>27</v>
      </c>
      <c r="AH8" s="47" t="str">
        <f t="shared" si="5"/>
        <v>OK</v>
      </c>
      <c r="AI8" s="47" t="str">
        <f t="shared" si="6"/>
        <v>OK</v>
      </c>
      <c r="AJ8" s="48" t="str">
        <f t="shared" si="7"/>
        <v>OK</v>
      </c>
      <c r="AK8" s="46">
        <f t="shared" si="8"/>
        <v>0</v>
      </c>
      <c r="AL8" s="49">
        <f t="shared" si="9"/>
        <v>0</v>
      </c>
      <c r="AM8" s="49">
        <f t="shared" si="10"/>
        <v>0</v>
      </c>
      <c r="AN8" s="40">
        <f t="shared" si="11"/>
        <v>0</v>
      </c>
      <c r="AO8" s="49">
        <f t="shared" si="12"/>
        <v>0</v>
      </c>
      <c r="AP8" s="49">
        <f t="shared" si="13"/>
        <v>0</v>
      </c>
      <c r="AQ8" s="40">
        <f t="shared" si="14"/>
        <v>0</v>
      </c>
      <c r="AR8" s="49">
        <f t="shared" si="15"/>
        <v>0</v>
      </c>
      <c r="AS8" s="49">
        <f t="shared" si="16"/>
        <v>0</v>
      </c>
      <c r="AT8" s="40">
        <f t="shared" si="17"/>
        <v>0</v>
      </c>
      <c r="AU8" s="49">
        <f t="shared" si="18"/>
        <v>0</v>
      </c>
      <c r="AV8" s="49">
        <f t="shared" si="19"/>
        <v>0</v>
      </c>
      <c r="AW8" s="40">
        <f t="shared" si="20"/>
        <v>0</v>
      </c>
      <c r="AX8" s="49">
        <f t="shared" si="21"/>
        <v>0</v>
      </c>
      <c r="AY8" s="49">
        <f t="shared" si="22"/>
        <v>0</v>
      </c>
      <c r="AZ8" s="50">
        <f t="shared" si="23"/>
        <v>0</v>
      </c>
      <c r="BB8" s="51"/>
    </row>
    <row r="9">
      <c r="A9" s="37" t="str">
        <f t="shared" si="4"/>
        <v>#REF!</v>
      </c>
      <c r="B9" s="53" t="s">
        <v>30</v>
      </c>
      <c r="C9" s="50" t="s">
        <v>31</v>
      </c>
      <c r="D9" s="44"/>
      <c r="E9" s="44"/>
      <c r="F9" s="44"/>
      <c r="G9" s="44"/>
      <c r="H9" s="44"/>
      <c r="I9" s="44"/>
      <c r="J9" s="44"/>
      <c r="K9" s="44"/>
      <c r="L9" s="44"/>
      <c r="M9" s="44"/>
      <c r="N9" s="44"/>
      <c r="O9" s="44"/>
      <c r="P9" s="44"/>
      <c r="Q9" s="44"/>
      <c r="R9" s="44"/>
      <c r="S9" s="44"/>
      <c r="T9" s="44"/>
      <c r="U9" s="44"/>
      <c r="V9" s="44"/>
      <c r="W9" s="44"/>
      <c r="X9" s="44"/>
      <c r="Y9" s="44"/>
      <c r="Z9" s="44"/>
      <c r="AA9" s="44"/>
      <c r="AB9" s="59"/>
      <c r="AC9" s="59"/>
      <c r="AD9" s="44"/>
      <c r="AE9" s="44"/>
      <c r="AF9" s="46"/>
      <c r="AG9" s="46" t="s">
        <v>27</v>
      </c>
      <c r="AH9" s="47" t="str">
        <f t="shared" si="5"/>
        <v>OK</v>
      </c>
      <c r="AI9" s="47" t="str">
        <f t="shared" si="6"/>
        <v>OK</v>
      </c>
      <c r="AJ9" s="48" t="str">
        <f t="shared" si="7"/>
        <v>OK</v>
      </c>
      <c r="AK9" s="46">
        <f t="shared" si="8"/>
        <v>0</v>
      </c>
      <c r="AL9" s="49">
        <f t="shared" si="9"/>
        <v>0</v>
      </c>
      <c r="AM9" s="49">
        <f t="shared" si="10"/>
        <v>0</v>
      </c>
      <c r="AN9" s="40">
        <f t="shared" si="11"/>
        <v>0</v>
      </c>
      <c r="AO9" s="49">
        <f t="shared" si="12"/>
        <v>0</v>
      </c>
      <c r="AP9" s="49">
        <f t="shared" si="13"/>
        <v>0</v>
      </c>
      <c r="AQ9" s="40">
        <f t="shared" si="14"/>
        <v>0</v>
      </c>
      <c r="AR9" s="49">
        <f t="shared" si="15"/>
        <v>0</v>
      </c>
      <c r="AS9" s="49">
        <f t="shared" si="16"/>
        <v>0</v>
      </c>
      <c r="AT9" s="40">
        <f t="shared" si="17"/>
        <v>0</v>
      </c>
      <c r="AU9" s="49">
        <f t="shared" si="18"/>
        <v>0</v>
      </c>
      <c r="AV9" s="49">
        <f t="shared" si="19"/>
        <v>0</v>
      </c>
      <c r="AW9" s="40">
        <f t="shared" si="20"/>
        <v>0</v>
      </c>
      <c r="AX9" s="49">
        <f t="shared" si="21"/>
        <v>0</v>
      </c>
      <c r="AY9" s="49">
        <f t="shared" si="22"/>
        <v>0</v>
      </c>
      <c r="AZ9" s="50">
        <f t="shared" si="23"/>
        <v>0</v>
      </c>
      <c r="BB9" s="51"/>
    </row>
    <row r="10">
      <c r="A10" s="37" t="str">
        <f t="shared" si="4"/>
        <v>#REF!</v>
      </c>
      <c r="B10" s="53" t="s">
        <v>32</v>
      </c>
      <c r="C10" s="50" t="s">
        <v>33</v>
      </c>
      <c r="D10" s="58"/>
      <c r="E10" s="60"/>
      <c r="F10" s="61"/>
      <c r="G10" s="56"/>
      <c r="H10" s="56"/>
      <c r="I10" s="44"/>
      <c r="J10" s="44"/>
      <c r="K10" s="57"/>
      <c r="L10" s="56"/>
      <c r="M10" s="58"/>
      <c r="N10" s="44"/>
      <c r="O10" s="44"/>
      <c r="P10" s="58"/>
      <c r="Q10" s="56"/>
      <c r="R10" s="56"/>
      <c r="S10" s="56"/>
      <c r="T10" s="56"/>
      <c r="U10" s="56"/>
      <c r="V10" s="56"/>
      <c r="W10" s="56"/>
      <c r="X10" s="58"/>
      <c r="Y10" s="56"/>
      <c r="Z10" s="56"/>
      <c r="AA10" s="58"/>
      <c r="AB10" s="56"/>
      <c r="AC10" s="56"/>
      <c r="AD10" s="56"/>
      <c r="AE10" s="56"/>
      <c r="AF10" s="46" t="s">
        <v>34</v>
      </c>
      <c r="AG10" s="46" t="s">
        <v>27</v>
      </c>
      <c r="AH10" s="47" t="str">
        <f t="shared" si="5"/>
        <v>OK</v>
      </c>
      <c r="AI10" s="47" t="str">
        <f t="shared" si="6"/>
        <v>OK</v>
      </c>
      <c r="AJ10" s="48" t="str">
        <f t="shared" si="7"/>
        <v>OK</v>
      </c>
      <c r="AK10" s="46">
        <f t="shared" si="8"/>
        <v>0</v>
      </c>
      <c r="AL10" s="49">
        <f t="shared" si="9"/>
        <v>0</v>
      </c>
      <c r="AM10" s="49">
        <f t="shared" si="10"/>
        <v>0</v>
      </c>
      <c r="AN10" s="40">
        <f t="shared" si="11"/>
        <v>0</v>
      </c>
      <c r="AO10" s="49">
        <f t="shared" si="12"/>
        <v>0</v>
      </c>
      <c r="AP10" s="49">
        <f t="shared" si="13"/>
        <v>0</v>
      </c>
      <c r="AQ10" s="40">
        <f t="shared" si="14"/>
        <v>0</v>
      </c>
      <c r="AR10" s="49">
        <f t="shared" si="15"/>
        <v>0</v>
      </c>
      <c r="AS10" s="49">
        <f t="shared" si="16"/>
        <v>0</v>
      </c>
      <c r="AT10" s="40">
        <f t="shared" si="17"/>
        <v>0</v>
      </c>
      <c r="AU10" s="49">
        <f t="shared" si="18"/>
        <v>0</v>
      </c>
      <c r="AV10" s="49">
        <f t="shared" si="19"/>
        <v>0</v>
      </c>
      <c r="AW10" s="40">
        <f t="shared" si="20"/>
        <v>0</v>
      </c>
      <c r="AX10" s="49">
        <f t="shared" si="21"/>
        <v>0</v>
      </c>
      <c r="AY10" s="49">
        <f t="shared" si="22"/>
        <v>0</v>
      </c>
      <c r="AZ10" s="50">
        <f t="shared" si="23"/>
        <v>0</v>
      </c>
      <c r="BB10" s="51"/>
    </row>
    <row r="11">
      <c r="A11" s="37" t="str">
        <f t="shared" si="4"/>
        <v>#REF!</v>
      </c>
      <c r="B11" s="53" t="s">
        <v>35</v>
      </c>
      <c r="C11" s="50" t="s">
        <v>26</v>
      </c>
      <c r="D11" s="56"/>
      <c r="E11" s="58"/>
      <c r="F11" s="56"/>
      <c r="G11" s="58"/>
      <c r="H11" s="57"/>
      <c r="I11" s="56"/>
      <c r="J11" s="58"/>
      <c r="K11" s="56"/>
      <c r="L11" s="56"/>
      <c r="M11" s="56"/>
      <c r="N11" s="56"/>
      <c r="O11" s="56"/>
      <c r="P11" s="58"/>
      <c r="Q11" s="56"/>
      <c r="R11" s="56"/>
      <c r="S11" s="56"/>
      <c r="T11" s="58"/>
      <c r="U11" s="56"/>
      <c r="V11" s="58"/>
      <c r="W11" s="44"/>
      <c r="X11" s="56"/>
      <c r="Y11" s="56"/>
      <c r="Z11" s="56"/>
      <c r="AA11" s="56"/>
      <c r="AB11" s="56"/>
      <c r="AC11" s="62"/>
      <c r="AD11" s="56"/>
      <c r="AE11" s="56"/>
      <c r="AF11" s="46"/>
      <c r="AG11" s="46" t="s">
        <v>27</v>
      </c>
      <c r="AH11" s="47" t="str">
        <f t="shared" si="5"/>
        <v>OK</v>
      </c>
      <c r="AI11" s="47" t="str">
        <f t="shared" si="6"/>
        <v>OK</v>
      </c>
      <c r="AJ11" s="48" t="str">
        <f t="shared" si="7"/>
        <v>OK</v>
      </c>
      <c r="AK11" s="46">
        <f t="shared" si="8"/>
        <v>0</v>
      </c>
      <c r="AL11" s="49">
        <f t="shared" si="9"/>
        <v>0</v>
      </c>
      <c r="AM11" s="49">
        <f t="shared" si="10"/>
        <v>0</v>
      </c>
      <c r="AN11" s="40">
        <f t="shared" si="11"/>
        <v>0</v>
      </c>
      <c r="AO11" s="49">
        <f t="shared" si="12"/>
        <v>0</v>
      </c>
      <c r="AP11" s="49">
        <f t="shared" si="13"/>
        <v>0</v>
      </c>
      <c r="AQ11" s="40">
        <f t="shared" si="14"/>
        <v>0</v>
      </c>
      <c r="AR11" s="49">
        <f t="shared" si="15"/>
        <v>0</v>
      </c>
      <c r="AS11" s="49">
        <f t="shared" si="16"/>
        <v>0</v>
      </c>
      <c r="AT11" s="40">
        <f t="shared" si="17"/>
        <v>0</v>
      </c>
      <c r="AU11" s="49">
        <f t="shared" si="18"/>
        <v>0</v>
      </c>
      <c r="AV11" s="49">
        <f t="shared" si="19"/>
        <v>0</v>
      </c>
      <c r="AW11" s="40">
        <f t="shared" si="20"/>
        <v>0</v>
      </c>
      <c r="AX11" s="49">
        <f t="shared" si="21"/>
        <v>0</v>
      </c>
      <c r="AY11" s="49">
        <f t="shared" si="22"/>
        <v>0</v>
      </c>
      <c r="AZ11" s="50">
        <f t="shared" si="23"/>
        <v>0</v>
      </c>
      <c r="BB11" s="51"/>
    </row>
    <row r="12">
      <c r="A12" s="37" t="str">
        <f t="shared" si="4"/>
        <v>#REF!</v>
      </c>
      <c r="B12" s="53" t="s">
        <v>36</v>
      </c>
      <c r="C12" s="50" t="s">
        <v>37</v>
      </c>
      <c r="D12" s="56"/>
      <c r="E12" s="56"/>
      <c r="F12" s="56"/>
      <c r="G12" s="58"/>
      <c r="H12" s="58"/>
      <c r="I12" s="56"/>
      <c r="J12" s="56"/>
      <c r="K12" s="58"/>
      <c r="L12" s="56"/>
      <c r="M12" s="58"/>
      <c r="N12" s="56"/>
      <c r="O12" s="56"/>
      <c r="P12" s="56"/>
      <c r="Q12" s="56"/>
      <c r="R12" s="56"/>
      <c r="S12" s="56"/>
      <c r="T12" s="56"/>
      <c r="U12" s="56"/>
      <c r="V12" s="56"/>
      <c r="W12" s="63"/>
      <c r="X12" s="64"/>
      <c r="Y12" s="56"/>
      <c r="Z12" s="56"/>
      <c r="AA12" s="58"/>
      <c r="AB12" s="56"/>
      <c r="AC12" s="56"/>
      <c r="AD12" s="56"/>
      <c r="AE12" s="56"/>
      <c r="AF12" s="46" t="s">
        <v>34</v>
      </c>
      <c r="AG12" s="46" t="s">
        <v>27</v>
      </c>
      <c r="AH12" s="47" t="str">
        <f t="shared" si="5"/>
        <v>OK</v>
      </c>
      <c r="AI12" s="47" t="str">
        <f t="shared" si="6"/>
        <v>OK</v>
      </c>
      <c r="AJ12" s="48" t="str">
        <f t="shared" si="7"/>
        <v>OK</v>
      </c>
      <c r="AK12" s="46">
        <f t="shared" si="8"/>
        <v>0</v>
      </c>
      <c r="AL12" s="49">
        <f t="shared" si="9"/>
        <v>0</v>
      </c>
      <c r="AM12" s="49">
        <f t="shared" si="10"/>
        <v>0</v>
      </c>
      <c r="AN12" s="40">
        <f t="shared" si="11"/>
        <v>0</v>
      </c>
      <c r="AO12" s="49">
        <f t="shared" si="12"/>
        <v>0</v>
      </c>
      <c r="AP12" s="49">
        <f t="shared" si="13"/>
        <v>0</v>
      </c>
      <c r="AQ12" s="40">
        <f t="shared" si="14"/>
        <v>0</v>
      </c>
      <c r="AR12" s="49">
        <f t="shared" si="15"/>
        <v>0</v>
      </c>
      <c r="AS12" s="49">
        <f t="shared" si="16"/>
        <v>0</v>
      </c>
      <c r="AT12" s="40">
        <f t="shared" si="17"/>
        <v>0</v>
      </c>
      <c r="AU12" s="49">
        <f t="shared" si="18"/>
        <v>0</v>
      </c>
      <c r="AV12" s="49">
        <f t="shared" si="19"/>
        <v>0</v>
      </c>
      <c r="AW12" s="40">
        <f t="shared" si="20"/>
        <v>0</v>
      </c>
      <c r="AX12" s="49">
        <f t="shared" si="21"/>
        <v>0</v>
      </c>
      <c r="AY12" s="49">
        <f t="shared" si="22"/>
        <v>0</v>
      </c>
      <c r="AZ12" s="50">
        <f t="shared" si="23"/>
        <v>0</v>
      </c>
      <c r="BB12" s="51"/>
    </row>
    <row r="13">
      <c r="A13" s="37" t="str">
        <f t="shared" si="4"/>
        <v>#REF!</v>
      </c>
      <c r="B13" s="53" t="s">
        <v>38</v>
      </c>
      <c r="C13" s="50" t="s">
        <v>26</v>
      </c>
      <c r="D13" s="56"/>
      <c r="E13" s="56"/>
      <c r="F13" s="56"/>
      <c r="G13" s="56"/>
      <c r="H13" s="56"/>
      <c r="I13" s="56"/>
      <c r="J13" s="58"/>
      <c r="K13" s="58"/>
      <c r="L13" s="56"/>
      <c r="M13" s="56"/>
      <c r="N13" s="56"/>
      <c r="O13" s="56"/>
      <c r="P13" s="56"/>
      <c r="Q13" s="56"/>
      <c r="R13" s="56"/>
      <c r="S13" s="56"/>
      <c r="T13" s="56"/>
      <c r="U13" s="56"/>
      <c r="V13" s="56"/>
      <c r="W13" s="56"/>
      <c r="X13" s="56"/>
      <c r="Y13" s="56"/>
      <c r="Z13" s="56"/>
      <c r="AA13" s="56"/>
      <c r="AB13" s="55" t="s">
        <v>29</v>
      </c>
      <c r="AC13" s="55" t="s">
        <v>29</v>
      </c>
      <c r="AD13" s="55" t="s">
        <v>29</v>
      </c>
      <c r="AE13" s="56"/>
      <c r="AF13" s="46"/>
      <c r="AG13" s="46" t="s">
        <v>27</v>
      </c>
      <c r="AH13" s="47" t="str">
        <f t="shared" si="5"/>
        <v>OK</v>
      </c>
      <c r="AI13" s="47" t="str">
        <f t="shared" si="6"/>
        <v>OK</v>
      </c>
      <c r="AJ13" s="48" t="str">
        <f t="shared" si="7"/>
        <v>OK</v>
      </c>
      <c r="AK13" s="46">
        <f t="shared" si="8"/>
        <v>0</v>
      </c>
      <c r="AL13" s="49">
        <f t="shared" si="9"/>
        <v>0</v>
      </c>
      <c r="AM13" s="49">
        <f t="shared" si="10"/>
        <v>0</v>
      </c>
      <c r="AN13" s="40">
        <f t="shared" si="11"/>
        <v>0</v>
      </c>
      <c r="AO13" s="49">
        <f t="shared" si="12"/>
        <v>0</v>
      </c>
      <c r="AP13" s="49">
        <f t="shared" si="13"/>
        <v>0</v>
      </c>
      <c r="AQ13" s="40">
        <f t="shared" si="14"/>
        <v>0</v>
      </c>
      <c r="AR13" s="49">
        <f t="shared" si="15"/>
        <v>0</v>
      </c>
      <c r="AS13" s="49">
        <f t="shared" si="16"/>
        <v>0</v>
      </c>
      <c r="AT13" s="40">
        <f t="shared" si="17"/>
        <v>0</v>
      </c>
      <c r="AU13" s="49">
        <f t="shared" si="18"/>
        <v>0</v>
      </c>
      <c r="AV13" s="49">
        <f t="shared" si="19"/>
        <v>0</v>
      </c>
      <c r="AW13" s="40">
        <f t="shared" si="20"/>
        <v>0</v>
      </c>
      <c r="AX13" s="49">
        <f t="shared" si="21"/>
        <v>0</v>
      </c>
      <c r="AY13" s="49">
        <f t="shared" si="22"/>
        <v>0</v>
      </c>
      <c r="AZ13" s="50">
        <f t="shared" si="23"/>
        <v>0</v>
      </c>
      <c r="BB13" s="51"/>
    </row>
    <row r="14">
      <c r="A14" s="37"/>
      <c r="B14" s="65" t="s">
        <v>39</v>
      </c>
      <c r="C14" s="50" t="s">
        <v>40</v>
      </c>
      <c r="D14" s="56"/>
      <c r="E14" s="56"/>
      <c r="F14" s="56"/>
      <c r="G14" s="56"/>
      <c r="H14" s="58"/>
      <c r="I14" s="44"/>
      <c r="J14" s="56"/>
      <c r="K14" s="58"/>
      <c r="L14" s="56"/>
      <c r="M14" s="56"/>
      <c r="N14" s="56"/>
      <c r="O14" s="55" t="s">
        <v>29</v>
      </c>
      <c r="P14" s="55" t="s">
        <v>29</v>
      </c>
      <c r="Q14" s="55" t="s">
        <v>29</v>
      </c>
      <c r="R14" s="44"/>
      <c r="S14" s="44"/>
      <c r="T14" s="44"/>
      <c r="U14" s="44"/>
      <c r="V14" s="44"/>
      <c r="W14" s="56"/>
      <c r="X14" s="56"/>
      <c r="Y14" s="56"/>
      <c r="Z14" s="56"/>
      <c r="AA14" s="56"/>
      <c r="AB14" s="56"/>
      <c r="AC14" s="56"/>
      <c r="AD14" s="56"/>
      <c r="AE14" s="56"/>
      <c r="AF14" s="46" t="s">
        <v>34</v>
      </c>
      <c r="AG14" s="46" t="s">
        <v>27</v>
      </c>
      <c r="AH14" s="47" t="str">
        <f t="shared" si="5"/>
        <v>OK</v>
      </c>
      <c r="AI14" s="47" t="str">
        <f t="shared" si="6"/>
        <v>OK</v>
      </c>
      <c r="AJ14" s="48" t="str">
        <f t="shared" si="7"/>
        <v>OK</v>
      </c>
      <c r="AK14" s="46">
        <f t="shared" si="8"/>
        <v>0</v>
      </c>
      <c r="AL14" s="49">
        <f t="shared" si="9"/>
        <v>0</v>
      </c>
      <c r="AM14" s="49">
        <f t="shared" si="10"/>
        <v>0</v>
      </c>
      <c r="AN14" s="40">
        <f t="shared" si="11"/>
        <v>0</v>
      </c>
      <c r="AO14" s="49">
        <f t="shared" si="12"/>
        <v>0</v>
      </c>
      <c r="AP14" s="49">
        <f t="shared" si="13"/>
        <v>0</v>
      </c>
      <c r="AQ14" s="40">
        <f t="shared" si="14"/>
        <v>0</v>
      </c>
      <c r="AR14" s="49">
        <f t="shared" si="15"/>
        <v>0</v>
      </c>
      <c r="AS14" s="49">
        <f t="shared" si="16"/>
        <v>0</v>
      </c>
      <c r="AT14" s="40">
        <f t="shared" si="17"/>
        <v>0</v>
      </c>
      <c r="AU14" s="49">
        <f t="shared" si="18"/>
        <v>0</v>
      </c>
      <c r="AV14" s="49">
        <f t="shared" si="19"/>
        <v>0</v>
      </c>
      <c r="AW14" s="40">
        <f t="shared" si="20"/>
        <v>0</v>
      </c>
      <c r="AX14" s="49">
        <f t="shared" si="21"/>
        <v>0</v>
      </c>
      <c r="AY14" s="49">
        <f t="shared" si="22"/>
        <v>0</v>
      </c>
      <c r="AZ14" s="50">
        <f t="shared" si="23"/>
        <v>0</v>
      </c>
      <c r="BB14" s="51"/>
    </row>
    <row r="15">
      <c r="A15" s="37" t="str">
        <f t="shared" ref="A15:A31" si="24">#REF!</f>
        <v>#REF!</v>
      </c>
      <c r="B15" s="66" t="s">
        <v>41</v>
      </c>
      <c r="C15" s="67" t="s">
        <v>26</v>
      </c>
      <c r="D15" s="68" t="s">
        <v>42</v>
      </c>
      <c r="E15" s="68" t="s">
        <v>42</v>
      </c>
      <c r="F15" s="68" t="s">
        <v>42</v>
      </c>
      <c r="G15" s="56"/>
      <c r="H15" s="56"/>
      <c r="I15" s="56"/>
      <c r="J15" s="56"/>
      <c r="K15" s="56"/>
      <c r="L15" s="56"/>
      <c r="M15" s="56"/>
      <c r="N15" s="56"/>
      <c r="O15" s="56"/>
      <c r="P15" s="58"/>
      <c r="Q15" s="58"/>
      <c r="R15" s="56"/>
      <c r="S15" s="58"/>
      <c r="T15" s="56"/>
      <c r="U15" s="56"/>
      <c r="V15" s="56"/>
      <c r="W15" s="56"/>
      <c r="X15" s="56"/>
      <c r="Y15" s="56"/>
      <c r="Z15" s="56"/>
      <c r="AA15" s="56"/>
      <c r="AB15" s="58"/>
      <c r="AC15" s="56"/>
      <c r="AD15" s="56"/>
      <c r="AE15" s="56"/>
      <c r="AF15" s="46"/>
      <c r="AG15" s="46" t="s">
        <v>43</v>
      </c>
      <c r="AH15" s="47" t="str">
        <f t="shared" si="5"/>
        <v>OK</v>
      </c>
      <c r="AI15" s="47" t="str">
        <f t="shared" si="6"/>
        <v>OK</v>
      </c>
      <c r="AJ15" s="48" t="str">
        <f t="shared" si="7"/>
        <v>OK</v>
      </c>
      <c r="AK15" s="46">
        <f t="shared" si="8"/>
        <v>0</v>
      </c>
      <c r="AL15" s="49">
        <f t="shared" si="9"/>
        <v>3</v>
      </c>
      <c r="AM15" s="49">
        <f t="shared" si="10"/>
        <v>0</v>
      </c>
      <c r="AN15" s="40">
        <f t="shared" si="11"/>
        <v>0</v>
      </c>
      <c r="AO15" s="49">
        <f t="shared" si="12"/>
        <v>0</v>
      </c>
      <c r="AP15" s="49">
        <f t="shared" si="13"/>
        <v>0</v>
      </c>
      <c r="AQ15" s="40">
        <f t="shared" si="14"/>
        <v>0</v>
      </c>
      <c r="AR15" s="49">
        <f t="shared" si="15"/>
        <v>0</v>
      </c>
      <c r="AS15" s="49">
        <f t="shared" si="16"/>
        <v>0</v>
      </c>
      <c r="AT15" s="40">
        <f t="shared" si="17"/>
        <v>0</v>
      </c>
      <c r="AU15" s="49">
        <f t="shared" si="18"/>
        <v>0</v>
      </c>
      <c r="AV15" s="49">
        <f t="shared" si="19"/>
        <v>0</v>
      </c>
      <c r="AW15" s="40">
        <f t="shared" si="20"/>
        <v>0</v>
      </c>
      <c r="AX15" s="49">
        <f t="shared" si="21"/>
        <v>0</v>
      </c>
      <c r="AY15" s="49">
        <f t="shared" si="22"/>
        <v>0</v>
      </c>
      <c r="AZ15" s="50">
        <f t="shared" si="23"/>
        <v>0</v>
      </c>
    </row>
    <row r="16">
      <c r="A16" s="37" t="str">
        <f t="shared" si="24"/>
        <v>#REF!</v>
      </c>
      <c r="B16" s="66" t="s">
        <v>44</v>
      </c>
      <c r="C16" s="67" t="s">
        <v>26</v>
      </c>
      <c r="D16" s="56"/>
      <c r="E16" s="56"/>
      <c r="F16" s="68" t="s">
        <v>42</v>
      </c>
      <c r="G16" s="68" t="s">
        <v>42</v>
      </c>
      <c r="H16" s="68" t="s">
        <v>42</v>
      </c>
      <c r="I16" s="68" t="s">
        <v>42</v>
      </c>
      <c r="J16" s="68" t="s">
        <v>42</v>
      </c>
      <c r="K16" s="68" t="s">
        <v>42</v>
      </c>
      <c r="L16" s="68" t="s">
        <v>42</v>
      </c>
      <c r="M16" s="56"/>
      <c r="N16" s="56"/>
      <c r="O16" s="56"/>
      <c r="P16" s="56"/>
      <c r="Q16" s="56"/>
      <c r="R16" s="58"/>
      <c r="S16" s="58"/>
      <c r="T16" s="56"/>
      <c r="U16" s="56"/>
      <c r="V16" s="56"/>
      <c r="W16" s="56"/>
      <c r="X16" s="56"/>
      <c r="Y16" s="57"/>
      <c r="Z16" s="56"/>
      <c r="AA16" s="56"/>
      <c r="AB16" s="56"/>
      <c r="AC16" s="56"/>
      <c r="AD16" s="56"/>
      <c r="AE16" s="58"/>
      <c r="AF16" s="46"/>
      <c r="AG16" s="46" t="s">
        <v>43</v>
      </c>
      <c r="AH16" s="47" t="str">
        <f t="shared" si="5"/>
        <v>OK</v>
      </c>
      <c r="AI16" s="47" t="str">
        <f t="shared" si="6"/>
        <v>OK</v>
      </c>
      <c r="AJ16" s="48" t="str">
        <f t="shared" si="7"/>
        <v>OK</v>
      </c>
      <c r="AK16" s="46">
        <f t="shared" si="8"/>
        <v>0</v>
      </c>
      <c r="AL16" s="49">
        <f t="shared" si="9"/>
        <v>4</v>
      </c>
      <c r="AM16" s="49">
        <f t="shared" si="10"/>
        <v>0</v>
      </c>
      <c r="AN16" s="40">
        <f t="shared" si="11"/>
        <v>0</v>
      </c>
      <c r="AO16" s="49">
        <f t="shared" si="12"/>
        <v>3</v>
      </c>
      <c r="AP16" s="49">
        <f t="shared" si="13"/>
        <v>0</v>
      </c>
      <c r="AQ16" s="40">
        <f t="shared" si="14"/>
        <v>0</v>
      </c>
      <c r="AR16" s="49">
        <f t="shared" si="15"/>
        <v>0</v>
      </c>
      <c r="AS16" s="49">
        <f t="shared" si="16"/>
        <v>0</v>
      </c>
      <c r="AT16" s="40">
        <f t="shared" si="17"/>
        <v>0</v>
      </c>
      <c r="AU16" s="49">
        <f t="shared" si="18"/>
        <v>0</v>
      </c>
      <c r="AV16" s="49">
        <f t="shared" si="19"/>
        <v>0</v>
      </c>
      <c r="AW16" s="40">
        <f t="shared" si="20"/>
        <v>0</v>
      </c>
      <c r="AX16" s="49">
        <f t="shared" si="21"/>
        <v>0</v>
      </c>
      <c r="AY16" s="49">
        <f t="shared" si="22"/>
        <v>0</v>
      </c>
      <c r="AZ16" s="50">
        <f t="shared" si="23"/>
        <v>0</v>
      </c>
    </row>
    <row r="17">
      <c r="A17" s="37" t="str">
        <f t="shared" si="24"/>
        <v>#REF!</v>
      </c>
      <c r="B17" s="66" t="s">
        <v>45</v>
      </c>
      <c r="C17" s="67" t="s">
        <v>31</v>
      </c>
      <c r="D17" s="56"/>
      <c r="E17" s="56"/>
      <c r="F17" s="58"/>
      <c r="G17" s="56"/>
      <c r="H17" s="44"/>
      <c r="I17" s="56"/>
      <c r="J17" s="56"/>
      <c r="K17" s="56"/>
      <c r="L17" s="56"/>
      <c r="M17" s="56"/>
      <c r="N17" s="56"/>
      <c r="O17" s="44"/>
      <c r="P17" s="56"/>
      <c r="Q17" s="56"/>
      <c r="R17" s="56"/>
      <c r="S17" s="56"/>
      <c r="T17" s="56"/>
      <c r="U17" s="56"/>
      <c r="V17" s="44"/>
      <c r="W17" s="56"/>
      <c r="X17" s="44"/>
      <c r="Y17" s="44"/>
      <c r="Z17" s="44"/>
      <c r="AA17" s="44"/>
      <c r="AB17" s="44"/>
      <c r="AC17" s="44"/>
      <c r="AD17" s="44"/>
      <c r="AE17" s="44"/>
      <c r="AF17" s="46"/>
      <c r="AG17" s="46" t="s">
        <v>43</v>
      </c>
      <c r="AH17" s="47" t="str">
        <f t="shared" si="5"/>
        <v>OK</v>
      </c>
      <c r="AI17" s="47" t="str">
        <f t="shared" si="6"/>
        <v>OK</v>
      </c>
      <c r="AJ17" s="48" t="str">
        <f t="shared" si="7"/>
        <v>OK</v>
      </c>
      <c r="AK17" s="46">
        <f t="shared" si="8"/>
        <v>0</v>
      </c>
      <c r="AL17" s="49">
        <f t="shared" si="9"/>
        <v>0</v>
      </c>
      <c r="AM17" s="49">
        <f t="shared" si="10"/>
        <v>0</v>
      </c>
      <c r="AN17" s="40">
        <f t="shared" si="11"/>
        <v>0</v>
      </c>
      <c r="AO17" s="49">
        <f t="shared" si="12"/>
        <v>0</v>
      </c>
      <c r="AP17" s="49">
        <f t="shared" si="13"/>
        <v>0</v>
      </c>
      <c r="AQ17" s="40">
        <f t="shared" si="14"/>
        <v>0</v>
      </c>
      <c r="AR17" s="49">
        <f t="shared" si="15"/>
        <v>0</v>
      </c>
      <c r="AS17" s="49">
        <f t="shared" si="16"/>
        <v>0</v>
      </c>
      <c r="AT17" s="40">
        <f t="shared" si="17"/>
        <v>0</v>
      </c>
      <c r="AU17" s="49">
        <f t="shared" si="18"/>
        <v>0</v>
      </c>
      <c r="AV17" s="49">
        <f t="shared" si="19"/>
        <v>0</v>
      </c>
      <c r="AW17" s="40">
        <f t="shared" si="20"/>
        <v>0</v>
      </c>
      <c r="AX17" s="49">
        <f t="shared" si="21"/>
        <v>0</v>
      </c>
      <c r="AY17" s="49">
        <f t="shared" si="22"/>
        <v>0</v>
      </c>
      <c r="AZ17" s="50">
        <f t="shared" si="23"/>
        <v>0</v>
      </c>
    </row>
    <row r="18">
      <c r="A18" s="37" t="str">
        <f t="shared" si="24"/>
        <v>#REF!</v>
      </c>
      <c r="B18" s="66" t="s">
        <v>46</v>
      </c>
      <c r="C18" s="67" t="s">
        <v>26</v>
      </c>
      <c r="D18" s="56"/>
      <c r="E18" s="56"/>
      <c r="F18" s="55" t="s">
        <v>29</v>
      </c>
      <c r="G18" s="55" t="s">
        <v>29</v>
      </c>
      <c r="H18" s="60"/>
      <c r="I18" s="56"/>
      <c r="J18" s="56"/>
      <c r="K18" s="56"/>
      <c r="L18" s="56"/>
      <c r="M18" s="58"/>
      <c r="N18" s="58"/>
      <c r="O18" s="56"/>
      <c r="P18" s="56"/>
      <c r="Q18" s="56"/>
      <c r="R18" s="56"/>
      <c r="S18" s="56"/>
      <c r="T18" s="56"/>
      <c r="U18" s="56"/>
      <c r="V18" s="58"/>
      <c r="W18" s="56"/>
      <c r="X18" s="56"/>
      <c r="Y18" s="56"/>
      <c r="Z18" s="56"/>
      <c r="AA18" s="55" t="s">
        <v>29</v>
      </c>
      <c r="AB18" s="68" t="s">
        <v>42</v>
      </c>
      <c r="AC18" s="68" t="s">
        <v>42</v>
      </c>
      <c r="AD18" s="68" t="s">
        <v>42</v>
      </c>
      <c r="AE18" s="68" t="s">
        <v>42</v>
      </c>
      <c r="AF18" s="46"/>
      <c r="AG18" s="46" t="s">
        <v>43</v>
      </c>
      <c r="AH18" s="47" t="str">
        <f t="shared" si="5"/>
        <v>OK</v>
      </c>
      <c r="AI18" s="47" t="str">
        <f t="shared" si="6"/>
        <v>OK</v>
      </c>
      <c r="AJ18" s="48" t="str">
        <f t="shared" si="7"/>
        <v>OK</v>
      </c>
      <c r="AK18" s="46">
        <f t="shared" si="8"/>
        <v>0</v>
      </c>
      <c r="AL18" s="49">
        <f t="shared" si="9"/>
        <v>0</v>
      </c>
      <c r="AM18" s="49">
        <f t="shared" si="10"/>
        <v>0</v>
      </c>
      <c r="AN18" s="40">
        <f t="shared" si="11"/>
        <v>0</v>
      </c>
      <c r="AO18" s="49">
        <f t="shared" si="12"/>
        <v>0</v>
      </c>
      <c r="AP18" s="49">
        <f t="shared" si="13"/>
        <v>0</v>
      </c>
      <c r="AQ18" s="40">
        <f t="shared" si="14"/>
        <v>0</v>
      </c>
      <c r="AR18" s="49">
        <f t="shared" si="15"/>
        <v>0</v>
      </c>
      <c r="AS18" s="49">
        <f t="shared" si="16"/>
        <v>0</v>
      </c>
      <c r="AT18" s="40">
        <f t="shared" si="17"/>
        <v>0</v>
      </c>
      <c r="AU18" s="49">
        <f t="shared" si="18"/>
        <v>3</v>
      </c>
      <c r="AV18" s="49">
        <f t="shared" si="19"/>
        <v>0</v>
      </c>
      <c r="AW18" s="40">
        <f t="shared" si="20"/>
        <v>0</v>
      </c>
      <c r="AX18" s="49">
        <f t="shared" si="21"/>
        <v>1</v>
      </c>
      <c r="AY18" s="49">
        <f t="shared" si="22"/>
        <v>0</v>
      </c>
      <c r="AZ18" s="50">
        <f t="shared" si="23"/>
        <v>0</v>
      </c>
    </row>
    <row r="19">
      <c r="A19" s="37" t="str">
        <f t="shared" si="24"/>
        <v>#REF!</v>
      </c>
      <c r="B19" s="66" t="s">
        <v>47</v>
      </c>
      <c r="C19" s="67" t="s">
        <v>37</v>
      </c>
      <c r="D19" s="56"/>
      <c r="E19" s="56"/>
      <c r="F19" s="56"/>
      <c r="G19" s="56"/>
      <c r="H19" s="56"/>
      <c r="I19" s="56"/>
      <c r="J19" s="56"/>
      <c r="K19" s="56"/>
      <c r="L19" s="56"/>
      <c r="M19" s="56"/>
      <c r="N19" s="56"/>
      <c r="O19" s="56"/>
      <c r="P19" s="58"/>
      <c r="Q19" s="58"/>
      <c r="R19" s="56"/>
      <c r="S19" s="56"/>
      <c r="T19" s="56"/>
      <c r="U19" s="56"/>
      <c r="V19" s="56"/>
      <c r="W19" s="69"/>
      <c r="X19" s="56"/>
      <c r="Y19" s="56"/>
      <c r="Z19" s="56"/>
      <c r="AA19" s="56"/>
      <c r="AB19" s="56"/>
      <c r="AC19" s="56"/>
      <c r="AD19" s="56"/>
      <c r="AE19" s="56"/>
      <c r="AF19" s="46"/>
      <c r="AG19" s="46" t="s">
        <v>43</v>
      </c>
      <c r="AH19" s="47" t="str">
        <f t="shared" si="5"/>
        <v>OK</v>
      </c>
      <c r="AI19" s="47" t="str">
        <f t="shared" si="6"/>
        <v>OK</v>
      </c>
      <c r="AJ19" s="48" t="str">
        <f t="shared" si="7"/>
        <v>OK</v>
      </c>
      <c r="AK19" s="46">
        <f t="shared" si="8"/>
        <v>0</v>
      </c>
      <c r="AL19" s="49">
        <f t="shared" si="9"/>
        <v>0</v>
      </c>
      <c r="AM19" s="49">
        <f t="shared" si="10"/>
        <v>0</v>
      </c>
      <c r="AN19" s="40">
        <f t="shared" si="11"/>
        <v>0</v>
      </c>
      <c r="AO19" s="49">
        <f t="shared" si="12"/>
        <v>0</v>
      </c>
      <c r="AP19" s="49">
        <f t="shared" si="13"/>
        <v>0</v>
      </c>
      <c r="AQ19" s="40">
        <f t="shared" si="14"/>
        <v>0</v>
      </c>
      <c r="AR19" s="49">
        <f t="shared" si="15"/>
        <v>0</v>
      </c>
      <c r="AS19" s="49">
        <f t="shared" si="16"/>
        <v>0</v>
      </c>
      <c r="AT19" s="40">
        <f t="shared" si="17"/>
        <v>0</v>
      </c>
      <c r="AU19" s="49">
        <f t="shared" si="18"/>
        <v>0</v>
      </c>
      <c r="AV19" s="49">
        <f t="shared" si="19"/>
        <v>0</v>
      </c>
      <c r="AW19" s="40">
        <f t="shared" si="20"/>
        <v>0</v>
      </c>
      <c r="AX19" s="49">
        <f t="shared" si="21"/>
        <v>0</v>
      </c>
      <c r="AY19" s="49">
        <f t="shared" si="22"/>
        <v>0</v>
      </c>
      <c r="AZ19" s="50">
        <f t="shared" si="23"/>
        <v>0</v>
      </c>
    </row>
    <row r="20">
      <c r="A20" s="37" t="str">
        <f t="shared" si="24"/>
        <v>#REF!</v>
      </c>
      <c r="B20" s="66" t="s">
        <v>48</v>
      </c>
      <c r="C20" s="67" t="s">
        <v>49</v>
      </c>
      <c r="D20" s="56"/>
      <c r="E20" s="56"/>
      <c r="F20" s="61"/>
      <c r="G20" s="56"/>
      <c r="H20" s="56"/>
      <c r="I20" s="56"/>
      <c r="J20" s="58"/>
      <c r="K20" s="68" t="s">
        <v>42</v>
      </c>
      <c r="L20" s="68" t="s">
        <v>42</v>
      </c>
      <c r="M20" s="68" t="s">
        <v>42</v>
      </c>
      <c r="N20" s="68" t="s">
        <v>42</v>
      </c>
      <c r="O20" s="68" t="s">
        <v>42</v>
      </c>
      <c r="P20" s="68" t="s">
        <v>42</v>
      </c>
      <c r="Q20" s="68" t="s">
        <v>42</v>
      </c>
      <c r="R20" s="56"/>
      <c r="S20" s="58"/>
      <c r="T20" s="56"/>
      <c r="U20" s="58"/>
      <c r="V20" s="58"/>
      <c r="W20" s="55" t="s">
        <v>29</v>
      </c>
      <c r="X20" s="56"/>
      <c r="Y20" s="56"/>
      <c r="Z20" s="56"/>
      <c r="AA20" s="56"/>
      <c r="AB20" s="56"/>
      <c r="AC20" s="56"/>
      <c r="AD20" s="55" t="s">
        <v>29</v>
      </c>
      <c r="AE20" s="55" t="s">
        <v>29</v>
      </c>
      <c r="AF20" s="46"/>
      <c r="AG20" s="46" t="s">
        <v>43</v>
      </c>
      <c r="AH20" s="47" t="str">
        <f t="shared" si="5"/>
        <v>OK</v>
      </c>
      <c r="AI20" s="47" t="str">
        <f t="shared" si="6"/>
        <v>OK</v>
      </c>
      <c r="AJ20" s="48" t="str">
        <f t="shared" si="7"/>
        <v>OK</v>
      </c>
      <c r="AK20" s="46">
        <f t="shared" si="8"/>
        <v>0</v>
      </c>
      <c r="AL20" s="49">
        <f t="shared" si="9"/>
        <v>0</v>
      </c>
      <c r="AM20" s="49">
        <f t="shared" si="10"/>
        <v>0</v>
      </c>
      <c r="AN20" s="40">
        <f t="shared" si="11"/>
        <v>0</v>
      </c>
      <c r="AO20" s="49">
        <f t="shared" si="12"/>
        <v>6</v>
      </c>
      <c r="AP20" s="49">
        <f t="shared" si="13"/>
        <v>0</v>
      </c>
      <c r="AQ20" s="40">
        <f t="shared" si="14"/>
        <v>0</v>
      </c>
      <c r="AR20" s="49">
        <f t="shared" si="15"/>
        <v>1</v>
      </c>
      <c r="AS20" s="49">
        <f t="shared" si="16"/>
        <v>0</v>
      </c>
      <c r="AT20" s="40">
        <f t="shared" si="17"/>
        <v>0</v>
      </c>
      <c r="AU20" s="49">
        <f t="shared" si="18"/>
        <v>0</v>
      </c>
      <c r="AV20" s="49">
        <f t="shared" si="19"/>
        <v>0</v>
      </c>
      <c r="AW20" s="40">
        <f t="shared" si="20"/>
        <v>0</v>
      </c>
      <c r="AX20" s="49">
        <f t="shared" si="21"/>
        <v>0</v>
      </c>
      <c r="AY20" s="49">
        <f t="shared" si="22"/>
        <v>0</v>
      </c>
      <c r="AZ20" s="50">
        <f t="shared" si="23"/>
        <v>0</v>
      </c>
    </row>
    <row r="21">
      <c r="A21" s="37" t="str">
        <f t="shared" si="24"/>
        <v>#REF!</v>
      </c>
      <c r="B21" s="66" t="s">
        <v>50</v>
      </c>
      <c r="C21" s="67" t="s">
        <v>49</v>
      </c>
      <c r="D21" s="56"/>
      <c r="E21" s="56"/>
      <c r="F21" s="61"/>
      <c r="G21" s="56"/>
      <c r="H21" s="60"/>
      <c r="I21" s="56"/>
      <c r="J21" s="56"/>
      <c r="K21" s="56"/>
      <c r="L21" s="56"/>
      <c r="M21" s="58"/>
      <c r="N21" s="44"/>
      <c r="O21" s="44"/>
      <c r="P21" s="44"/>
      <c r="Q21" s="44"/>
      <c r="R21" s="56"/>
      <c r="S21" s="56"/>
      <c r="T21" s="56"/>
      <c r="U21" s="56"/>
      <c r="V21" s="56"/>
      <c r="W21" s="68" t="s">
        <v>42</v>
      </c>
      <c r="X21" s="68" t="s">
        <v>42</v>
      </c>
      <c r="Y21" s="68" t="s">
        <v>42</v>
      </c>
      <c r="Z21" s="68" t="s">
        <v>42</v>
      </c>
      <c r="AA21" s="68" t="s">
        <v>42</v>
      </c>
      <c r="AB21" s="68" t="s">
        <v>42</v>
      </c>
      <c r="AC21" s="68" t="s">
        <v>42</v>
      </c>
      <c r="AD21" s="44"/>
      <c r="AE21" s="44"/>
      <c r="AF21" s="46"/>
      <c r="AG21" s="46" t="s">
        <v>43</v>
      </c>
      <c r="AH21" s="47" t="str">
        <f t="shared" si="5"/>
        <v>OK</v>
      </c>
      <c r="AI21" s="47" t="str">
        <f t="shared" si="6"/>
        <v>OK</v>
      </c>
      <c r="AJ21" s="48" t="str">
        <f t="shared" si="7"/>
        <v>OK</v>
      </c>
      <c r="AK21" s="46">
        <f t="shared" si="8"/>
        <v>0</v>
      </c>
      <c r="AL21" s="49">
        <f t="shared" si="9"/>
        <v>0</v>
      </c>
      <c r="AM21" s="49">
        <f t="shared" si="10"/>
        <v>0</v>
      </c>
      <c r="AN21" s="40">
        <f t="shared" si="11"/>
        <v>0</v>
      </c>
      <c r="AO21" s="49">
        <f t="shared" si="12"/>
        <v>0</v>
      </c>
      <c r="AP21" s="49">
        <f t="shared" si="13"/>
        <v>0</v>
      </c>
      <c r="AQ21" s="40">
        <f t="shared" si="14"/>
        <v>0</v>
      </c>
      <c r="AR21" s="49">
        <f t="shared" si="15"/>
        <v>1</v>
      </c>
      <c r="AS21" s="49">
        <f t="shared" si="16"/>
        <v>0</v>
      </c>
      <c r="AT21" s="40">
        <f t="shared" si="17"/>
        <v>0</v>
      </c>
      <c r="AU21" s="49">
        <f t="shared" si="18"/>
        <v>6</v>
      </c>
      <c r="AV21" s="49">
        <f t="shared" si="19"/>
        <v>0</v>
      </c>
      <c r="AW21" s="40">
        <f t="shared" si="20"/>
        <v>0</v>
      </c>
      <c r="AX21" s="49">
        <f t="shared" si="21"/>
        <v>0</v>
      </c>
      <c r="AY21" s="49">
        <f t="shared" si="22"/>
        <v>0</v>
      </c>
      <c r="AZ21" s="50">
        <f t="shared" si="23"/>
        <v>0</v>
      </c>
    </row>
    <row r="22">
      <c r="A22" s="37" t="str">
        <f t="shared" si="24"/>
        <v>#REF!</v>
      </c>
      <c r="B22" s="66" t="s">
        <v>51</v>
      </c>
      <c r="C22" s="67" t="s">
        <v>52</v>
      </c>
      <c r="D22" s="44"/>
      <c r="E22" s="44"/>
      <c r="F22" s="44"/>
      <c r="G22" s="44"/>
      <c r="H22" s="56"/>
      <c r="I22" s="58"/>
      <c r="J22" s="56"/>
      <c r="K22" s="56"/>
      <c r="L22" s="56"/>
      <c r="M22" s="56"/>
      <c r="N22" s="58"/>
      <c r="O22" s="58"/>
      <c r="P22" s="56"/>
      <c r="Q22" s="56"/>
      <c r="R22" s="56"/>
      <c r="S22" s="56"/>
      <c r="T22" s="56"/>
      <c r="U22" s="56"/>
      <c r="V22" s="56"/>
      <c r="W22" s="56"/>
      <c r="X22" s="62"/>
      <c r="Y22" s="56"/>
      <c r="Z22" s="58"/>
      <c r="AA22" s="56"/>
      <c r="AB22" s="56"/>
      <c r="AC22" s="56"/>
      <c r="AD22" s="44"/>
      <c r="AE22" s="44"/>
      <c r="AF22" s="46"/>
      <c r="AG22" s="46" t="s">
        <v>43</v>
      </c>
      <c r="AH22" s="47" t="str">
        <f t="shared" si="5"/>
        <v>OK</v>
      </c>
      <c r="AI22" s="47" t="str">
        <f t="shared" si="6"/>
        <v>OK</v>
      </c>
      <c r="AJ22" s="48" t="str">
        <f t="shared" si="7"/>
        <v>OK</v>
      </c>
      <c r="AK22" s="46">
        <f t="shared" si="8"/>
        <v>0</v>
      </c>
      <c r="AL22" s="49">
        <f t="shared" si="9"/>
        <v>0</v>
      </c>
      <c r="AM22" s="49">
        <f t="shared" si="10"/>
        <v>0</v>
      </c>
      <c r="AN22" s="40">
        <f t="shared" si="11"/>
        <v>0</v>
      </c>
      <c r="AO22" s="49">
        <f t="shared" si="12"/>
        <v>0</v>
      </c>
      <c r="AP22" s="49">
        <f t="shared" si="13"/>
        <v>0</v>
      </c>
      <c r="AQ22" s="40">
        <f t="shared" si="14"/>
        <v>0</v>
      </c>
      <c r="AR22" s="49">
        <f t="shared" si="15"/>
        <v>0</v>
      </c>
      <c r="AS22" s="49">
        <f t="shared" si="16"/>
        <v>0</v>
      </c>
      <c r="AT22" s="40">
        <f t="shared" si="17"/>
        <v>0</v>
      </c>
      <c r="AU22" s="49">
        <f t="shared" si="18"/>
        <v>0</v>
      </c>
      <c r="AV22" s="49">
        <f t="shared" si="19"/>
        <v>0</v>
      </c>
      <c r="AW22" s="40">
        <f t="shared" si="20"/>
        <v>0</v>
      </c>
      <c r="AX22" s="49">
        <f t="shared" si="21"/>
        <v>0</v>
      </c>
      <c r="AY22" s="49">
        <f t="shared" si="22"/>
        <v>0</v>
      </c>
      <c r="AZ22" s="50">
        <f t="shared" si="23"/>
        <v>0</v>
      </c>
    </row>
    <row r="23">
      <c r="A23" s="37" t="str">
        <f t="shared" si="24"/>
        <v>#REF!</v>
      </c>
      <c r="B23" s="66" t="s">
        <v>53</v>
      </c>
      <c r="C23" s="67" t="s">
        <v>26</v>
      </c>
      <c r="D23" s="68" t="s">
        <v>42</v>
      </c>
      <c r="E23" s="68" t="s">
        <v>42</v>
      </c>
      <c r="F23" s="68" t="s">
        <v>42</v>
      </c>
      <c r="G23" s="68" t="s">
        <v>42</v>
      </c>
      <c r="H23" s="68" t="s">
        <v>42</v>
      </c>
      <c r="I23" s="55" t="s">
        <v>29</v>
      </c>
      <c r="J23" s="56"/>
      <c r="K23" s="56"/>
      <c r="L23" s="56"/>
      <c r="M23" s="56"/>
      <c r="N23" s="58"/>
      <c r="O23" s="56"/>
      <c r="P23" s="58"/>
      <c r="Q23" s="70"/>
      <c r="R23" s="58"/>
      <c r="S23" s="56"/>
      <c r="T23" s="56"/>
      <c r="U23" s="56"/>
      <c r="V23" s="56"/>
      <c r="W23" s="56"/>
      <c r="X23" s="58"/>
      <c r="Y23" s="58"/>
      <c r="Z23" s="58"/>
      <c r="AA23" s="56"/>
      <c r="AB23" s="58"/>
      <c r="AC23" s="62"/>
      <c r="AD23" s="55" t="s">
        <v>29</v>
      </c>
      <c r="AE23" s="58"/>
      <c r="AF23" s="46"/>
      <c r="AG23" s="46" t="s">
        <v>43</v>
      </c>
      <c r="AH23" s="47" t="str">
        <f t="shared" si="5"/>
        <v>OK</v>
      </c>
      <c r="AI23" s="47" t="str">
        <f t="shared" si="6"/>
        <v>OK</v>
      </c>
      <c r="AJ23" s="48" t="str">
        <f t="shared" si="7"/>
        <v>OK</v>
      </c>
      <c r="AK23" s="46">
        <f t="shared" si="8"/>
        <v>0</v>
      </c>
      <c r="AL23" s="49">
        <f t="shared" si="9"/>
        <v>5</v>
      </c>
      <c r="AM23" s="49">
        <f t="shared" si="10"/>
        <v>0</v>
      </c>
      <c r="AN23" s="40">
        <f t="shared" si="11"/>
        <v>0</v>
      </c>
      <c r="AO23" s="49">
        <f t="shared" si="12"/>
        <v>0</v>
      </c>
      <c r="AP23" s="49">
        <f t="shared" si="13"/>
        <v>0</v>
      </c>
      <c r="AQ23" s="40">
        <f t="shared" si="14"/>
        <v>0</v>
      </c>
      <c r="AR23" s="49">
        <f t="shared" si="15"/>
        <v>0</v>
      </c>
      <c r="AS23" s="49">
        <f t="shared" si="16"/>
        <v>0</v>
      </c>
      <c r="AT23" s="40">
        <f t="shared" si="17"/>
        <v>0</v>
      </c>
      <c r="AU23" s="49">
        <f t="shared" si="18"/>
        <v>0</v>
      </c>
      <c r="AV23" s="49">
        <f t="shared" si="19"/>
        <v>0</v>
      </c>
      <c r="AW23" s="40">
        <f t="shared" si="20"/>
        <v>0</v>
      </c>
      <c r="AX23" s="49">
        <f t="shared" si="21"/>
        <v>0</v>
      </c>
      <c r="AY23" s="49">
        <f t="shared" si="22"/>
        <v>0</v>
      </c>
      <c r="AZ23" s="50">
        <f t="shared" si="23"/>
        <v>0</v>
      </c>
    </row>
    <row r="24">
      <c r="A24" s="37" t="str">
        <f t="shared" si="24"/>
        <v>#REF!</v>
      </c>
      <c r="B24" s="71" t="s">
        <v>54</v>
      </c>
      <c r="C24" s="72" t="s">
        <v>26</v>
      </c>
      <c r="D24" s="56"/>
      <c r="E24" s="55" t="s">
        <v>29</v>
      </c>
      <c r="F24" s="55" t="s">
        <v>29</v>
      </c>
      <c r="G24" s="56"/>
      <c r="H24" s="56"/>
      <c r="I24" s="44"/>
      <c r="J24" s="55" t="s">
        <v>29</v>
      </c>
      <c r="K24" s="44"/>
      <c r="L24" s="44"/>
      <c r="M24" s="44"/>
      <c r="N24" s="44"/>
      <c r="O24" s="44"/>
      <c r="P24" s="44"/>
      <c r="Q24" s="44"/>
      <c r="R24" s="56"/>
      <c r="S24" s="56"/>
      <c r="T24" s="56"/>
      <c r="U24" s="68" t="s">
        <v>42</v>
      </c>
      <c r="V24" s="68" t="s">
        <v>42</v>
      </c>
      <c r="W24" s="68" t="s">
        <v>42</v>
      </c>
      <c r="X24" s="68" t="s">
        <v>42</v>
      </c>
      <c r="Y24" s="68" t="s">
        <v>42</v>
      </c>
      <c r="Z24" s="68" t="s">
        <v>42</v>
      </c>
      <c r="AA24" s="58"/>
      <c r="AB24" s="58"/>
      <c r="AC24" s="56"/>
      <c r="AD24" s="56"/>
      <c r="AE24" s="56"/>
      <c r="AF24" s="46"/>
      <c r="AG24" s="46" t="s">
        <v>55</v>
      </c>
      <c r="AH24" s="47" t="str">
        <f t="shared" si="5"/>
        <v>OK</v>
      </c>
      <c r="AI24" s="47" t="str">
        <f t="shared" si="6"/>
        <v>OK</v>
      </c>
      <c r="AJ24" s="48" t="str">
        <f t="shared" si="7"/>
        <v>OK</v>
      </c>
      <c r="AK24" s="46">
        <f t="shared" si="8"/>
        <v>0</v>
      </c>
      <c r="AL24" s="49">
        <f t="shared" si="9"/>
        <v>0</v>
      </c>
      <c r="AM24" s="49">
        <f t="shared" si="10"/>
        <v>0</v>
      </c>
      <c r="AN24" s="40">
        <f t="shared" si="11"/>
        <v>0</v>
      </c>
      <c r="AO24" s="49">
        <f t="shared" si="12"/>
        <v>0</v>
      </c>
      <c r="AP24" s="49">
        <f t="shared" si="13"/>
        <v>0</v>
      </c>
      <c r="AQ24" s="40">
        <f t="shared" si="14"/>
        <v>0</v>
      </c>
      <c r="AR24" s="49">
        <f t="shared" si="15"/>
        <v>3</v>
      </c>
      <c r="AS24" s="49">
        <f t="shared" si="16"/>
        <v>0</v>
      </c>
      <c r="AT24" s="40">
        <f t="shared" si="17"/>
        <v>0</v>
      </c>
      <c r="AU24" s="49">
        <f t="shared" si="18"/>
        <v>3</v>
      </c>
      <c r="AV24" s="49">
        <f t="shared" si="19"/>
        <v>0</v>
      </c>
      <c r="AW24" s="40">
        <f t="shared" si="20"/>
        <v>0</v>
      </c>
      <c r="AX24" s="49">
        <f t="shared" si="21"/>
        <v>0</v>
      </c>
      <c r="AY24" s="49">
        <f t="shared" si="22"/>
        <v>0</v>
      </c>
      <c r="AZ24" s="50">
        <f t="shared" si="23"/>
        <v>0</v>
      </c>
    </row>
    <row r="25">
      <c r="A25" s="37" t="str">
        <f t="shared" si="24"/>
        <v>#REF!</v>
      </c>
      <c r="B25" s="71" t="s">
        <v>56</v>
      </c>
      <c r="C25" s="73" t="s">
        <v>26</v>
      </c>
      <c r="D25" s="58"/>
      <c r="E25" s="56"/>
      <c r="F25" s="56"/>
      <c r="G25" s="57"/>
      <c r="H25" s="57"/>
      <c r="I25" s="56"/>
      <c r="J25" s="68" t="s">
        <v>42</v>
      </c>
      <c r="K25" s="68" t="s">
        <v>42</v>
      </c>
      <c r="L25" s="68" t="s">
        <v>42</v>
      </c>
      <c r="M25" s="68" t="s">
        <v>42</v>
      </c>
      <c r="N25" s="68" t="s">
        <v>42</v>
      </c>
      <c r="O25" s="68" t="s">
        <v>42</v>
      </c>
      <c r="P25" s="68" t="s">
        <v>42</v>
      </c>
      <c r="Q25" s="68" t="s">
        <v>42</v>
      </c>
      <c r="R25" s="68" t="s">
        <v>42</v>
      </c>
      <c r="S25" s="58"/>
      <c r="T25" s="56"/>
      <c r="U25" s="58"/>
      <c r="V25" s="58"/>
      <c r="W25" s="69"/>
      <c r="X25" s="68" t="s">
        <v>42</v>
      </c>
      <c r="Y25" s="68" t="s">
        <v>42</v>
      </c>
      <c r="Z25" s="68" t="s">
        <v>42</v>
      </c>
      <c r="AA25" s="68" t="s">
        <v>42</v>
      </c>
      <c r="AB25" s="68" t="s">
        <v>42</v>
      </c>
      <c r="AC25" s="68" t="s">
        <v>42</v>
      </c>
      <c r="AD25" s="68" t="s">
        <v>42</v>
      </c>
      <c r="AE25" s="68" t="s">
        <v>42</v>
      </c>
      <c r="AF25" s="46"/>
      <c r="AG25" s="46" t="s">
        <v>55</v>
      </c>
      <c r="AH25" s="47" t="str">
        <f t="shared" si="5"/>
        <v>OK</v>
      </c>
      <c r="AI25" s="47" t="str">
        <f t="shared" si="6"/>
        <v>OK</v>
      </c>
      <c r="AJ25" s="48" t="str">
        <f t="shared" si="7"/>
        <v>OK</v>
      </c>
      <c r="AK25" s="46">
        <f t="shared" si="8"/>
        <v>0</v>
      </c>
      <c r="AL25" s="49">
        <f t="shared" si="9"/>
        <v>0</v>
      </c>
      <c r="AM25" s="49">
        <f t="shared" si="10"/>
        <v>0</v>
      </c>
      <c r="AN25" s="40">
        <f t="shared" si="11"/>
        <v>0</v>
      </c>
      <c r="AO25" s="49">
        <f t="shared" si="12"/>
        <v>7</v>
      </c>
      <c r="AP25" s="49">
        <f t="shared" si="13"/>
        <v>0</v>
      </c>
      <c r="AQ25" s="40">
        <f t="shared" si="14"/>
        <v>0</v>
      </c>
      <c r="AR25" s="49">
        <f t="shared" si="15"/>
        <v>2</v>
      </c>
      <c r="AS25" s="49">
        <f t="shared" si="16"/>
        <v>0</v>
      </c>
      <c r="AT25" s="40">
        <f t="shared" si="17"/>
        <v>0</v>
      </c>
      <c r="AU25" s="49">
        <f t="shared" si="18"/>
        <v>7</v>
      </c>
      <c r="AV25" s="49">
        <f t="shared" si="19"/>
        <v>0</v>
      </c>
      <c r="AW25" s="40">
        <f t="shared" si="20"/>
        <v>0</v>
      </c>
      <c r="AX25" s="49">
        <f t="shared" si="21"/>
        <v>1</v>
      </c>
      <c r="AY25" s="49">
        <f t="shared" si="22"/>
        <v>0</v>
      </c>
      <c r="AZ25" s="50">
        <f t="shared" si="23"/>
        <v>0</v>
      </c>
    </row>
    <row r="26">
      <c r="A26" s="37" t="str">
        <f t="shared" si="24"/>
        <v>#REF!</v>
      </c>
      <c r="B26" s="71" t="s">
        <v>57</v>
      </c>
      <c r="C26" s="73" t="s">
        <v>58</v>
      </c>
      <c r="D26" s="58"/>
      <c r="E26" s="58"/>
      <c r="F26" s="56"/>
      <c r="G26" s="56"/>
      <c r="H26" s="57"/>
      <c r="I26" s="58"/>
      <c r="J26" s="58"/>
      <c r="K26" s="56"/>
      <c r="L26" s="58"/>
      <c r="M26" s="56"/>
      <c r="N26" s="56"/>
      <c r="O26" s="56"/>
      <c r="P26" s="58"/>
      <c r="Q26" s="58"/>
      <c r="R26" s="56"/>
      <c r="S26" s="58"/>
      <c r="T26" s="56"/>
      <c r="U26" s="56"/>
      <c r="V26" s="56"/>
      <c r="W26" s="56"/>
      <c r="X26" s="62"/>
      <c r="Y26" s="56"/>
      <c r="Z26" s="56"/>
      <c r="AA26" s="56"/>
      <c r="AB26" s="56"/>
      <c r="AC26" s="58"/>
      <c r="AD26" s="56"/>
      <c r="AE26" s="56"/>
      <c r="AF26" s="46"/>
      <c r="AG26" s="46" t="s">
        <v>55</v>
      </c>
      <c r="AH26" s="47" t="str">
        <f t="shared" si="5"/>
        <v>OK</v>
      </c>
      <c r="AI26" s="47" t="str">
        <f t="shared" si="6"/>
        <v>OK</v>
      </c>
      <c r="AJ26" s="48" t="str">
        <f t="shared" si="7"/>
        <v>OK</v>
      </c>
      <c r="AK26" s="46">
        <f t="shared" si="8"/>
        <v>0</v>
      </c>
      <c r="AL26" s="49">
        <f t="shared" si="9"/>
        <v>0</v>
      </c>
      <c r="AM26" s="49">
        <f t="shared" si="10"/>
        <v>0</v>
      </c>
      <c r="AN26" s="40">
        <f t="shared" si="11"/>
        <v>0</v>
      </c>
      <c r="AO26" s="49">
        <f t="shared" si="12"/>
        <v>0</v>
      </c>
      <c r="AP26" s="49">
        <f t="shared" si="13"/>
        <v>0</v>
      </c>
      <c r="AQ26" s="40">
        <f t="shared" si="14"/>
        <v>0</v>
      </c>
      <c r="AR26" s="49">
        <f t="shared" si="15"/>
        <v>0</v>
      </c>
      <c r="AS26" s="49">
        <f t="shared" si="16"/>
        <v>0</v>
      </c>
      <c r="AT26" s="40">
        <f t="shared" si="17"/>
        <v>0</v>
      </c>
      <c r="AU26" s="49">
        <f t="shared" si="18"/>
        <v>0</v>
      </c>
      <c r="AV26" s="49">
        <f t="shared" si="19"/>
        <v>0</v>
      </c>
      <c r="AW26" s="40">
        <f t="shared" si="20"/>
        <v>0</v>
      </c>
      <c r="AX26" s="49">
        <f t="shared" si="21"/>
        <v>0</v>
      </c>
      <c r="AY26" s="49">
        <f t="shared" si="22"/>
        <v>0</v>
      </c>
      <c r="AZ26" s="50">
        <f t="shared" si="23"/>
        <v>0</v>
      </c>
    </row>
    <row r="27">
      <c r="A27" s="37" t="str">
        <f t="shared" si="24"/>
        <v>#REF!</v>
      </c>
      <c r="B27" s="71" t="s">
        <v>59</v>
      </c>
      <c r="C27" s="73" t="s">
        <v>60</v>
      </c>
      <c r="D27" s="56"/>
      <c r="E27" s="56"/>
      <c r="F27" s="61"/>
      <c r="G27" s="56"/>
      <c r="H27" s="56"/>
      <c r="I27" s="56"/>
      <c r="J27" s="58"/>
      <c r="K27" s="56"/>
      <c r="L27" s="58"/>
      <c r="M27" s="56"/>
      <c r="N27" s="56"/>
      <c r="O27" s="56"/>
      <c r="P27" s="58"/>
      <c r="Q27" s="58"/>
      <c r="R27" s="56"/>
      <c r="S27" s="58"/>
      <c r="T27" s="58"/>
      <c r="U27" s="56"/>
      <c r="V27" s="56"/>
      <c r="W27" s="56"/>
      <c r="X27" s="56"/>
      <c r="Y27" s="56"/>
      <c r="Z27" s="56"/>
      <c r="AA27" s="56"/>
      <c r="AB27" s="56"/>
      <c r="AC27" s="56"/>
      <c r="AD27" s="56"/>
      <c r="AE27" s="56"/>
      <c r="AF27" s="46"/>
      <c r="AG27" s="46" t="s">
        <v>55</v>
      </c>
      <c r="AH27" s="47" t="str">
        <f t="shared" si="5"/>
        <v>OK</v>
      </c>
      <c r="AI27" s="47" t="str">
        <f t="shared" si="6"/>
        <v>OK</v>
      </c>
      <c r="AJ27" s="48" t="str">
        <f t="shared" si="7"/>
        <v>OK</v>
      </c>
      <c r="AK27" s="46">
        <f t="shared" si="8"/>
        <v>0</v>
      </c>
      <c r="AL27" s="49">
        <f t="shared" si="9"/>
        <v>0</v>
      </c>
      <c r="AM27" s="49">
        <f t="shared" si="10"/>
        <v>0</v>
      </c>
      <c r="AN27" s="40">
        <f t="shared" si="11"/>
        <v>0</v>
      </c>
      <c r="AO27" s="49">
        <f t="shared" si="12"/>
        <v>0</v>
      </c>
      <c r="AP27" s="49">
        <f t="shared" si="13"/>
        <v>0</v>
      </c>
      <c r="AQ27" s="40">
        <f t="shared" si="14"/>
        <v>0</v>
      </c>
      <c r="AR27" s="49">
        <f t="shared" si="15"/>
        <v>0</v>
      </c>
      <c r="AS27" s="49">
        <f t="shared" si="16"/>
        <v>0</v>
      </c>
      <c r="AT27" s="40">
        <f t="shared" si="17"/>
        <v>0</v>
      </c>
      <c r="AU27" s="49">
        <f t="shared" si="18"/>
        <v>0</v>
      </c>
      <c r="AV27" s="49">
        <f t="shared" si="19"/>
        <v>0</v>
      </c>
      <c r="AW27" s="40">
        <f t="shared" si="20"/>
        <v>0</v>
      </c>
      <c r="AX27" s="49">
        <f t="shared" si="21"/>
        <v>0</v>
      </c>
      <c r="AY27" s="49">
        <f t="shared" si="22"/>
        <v>0</v>
      </c>
      <c r="AZ27" s="50">
        <f t="shared" si="23"/>
        <v>0</v>
      </c>
    </row>
    <row r="28">
      <c r="A28" s="37" t="str">
        <f t="shared" si="24"/>
        <v>#REF!</v>
      </c>
      <c r="B28" s="71" t="s">
        <v>61</v>
      </c>
      <c r="C28" s="73" t="s">
        <v>62</v>
      </c>
      <c r="D28" s="58"/>
      <c r="E28" s="58"/>
      <c r="F28" s="58"/>
      <c r="G28" s="56"/>
      <c r="H28" s="60"/>
      <c r="I28" s="58"/>
      <c r="J28" s="56"/>
      <c r="K28" s="56"/>
      <c r="L28" s="56"/>
      <c r="M28" s="58"/>
      <c r="N28" s="56"/>
      <c r="O28" s="56"/>
      <c r="P28" s="56"/>
      <c r="Q28" s="55" t="s">
        <v>29</v>
      </c>
      <c r="R28" s="56"/>
      <c r="S28" s="56"/>
      <c r="T28" s="56"/>
      <c r="U28" s="68" t="s">
        <v>42</v>
      </c>
      <c r="V28" s="68" t="s">
        <v>42</v>
      </c>
      <c r="W28" s="68" t="s">
        <v>42</v>
      </c>
      <c r="X28" s="68" t="s">
        <v>42</v>
      </c>
      <c r="Y28" s="68" t="s">
        <v>42</v>
      </c>
      <c r="Z28" s="68" t="s">
        <v>42</v>
      </c>
      <c r="AA28" s="56"/>
      <c r="AB28" s="74"/>
      <c r="AC28" s="75"/>
      <c r="AD28" s="76"/>
      <c r="AE28" s="55" t="s">
        <v>29</v>
      </c>
      <c r="AF28" s="77"/>
      <c r="AG28" s="46" t="s">
        <v>55</v>
      </c>
      <c r="AH28" s="47" t="str">
        <f t="shared" si="5"/>
        <v>OK</v>
      </c>
      <c r="AI28" s="47" t="str">
        <f t="shared" si="6"/>
        <v>OK</v>
      </c>
      <c r="AJ28" s="48" t="str">
        <f t="shared" si="7"/>
        <v>OK</v>
      </c>
      <c r="AK28" s="46">
        <f t="shared" si="8"/>
        <v>0</v>
      </c>
      <c r="AL28" s="49">
        <f t="shared" si="9"/>
        <v>0</v>
      </c>
      <c r="AM28" s="49">
        <f t="shared" si="10"/>
        <v>0</v>
      </c>
      <c r="AN28" s="40">
        <f t="shared" si="11"/>
        <v>0</v>
      </c>
      <c r="AO28" s="49">
        <f t="shared" si="12"/>
        <v>0</v>
      </c>
      <c r="AP28" s="49">
        <f t="shared" si="13"/>
        <v>0</v>
      </c>
      <c r="AQ28" s="40">
        <f t="shared" si="14"/>
        <v>0</v>
      </c>
      <c r="AR28" s="49">
        <f t="shared" si="15"/>
        <v>3</v>
      </c>
      <c r="AS28" s="49">
        <f t="shared" si="16"/>
        <v>0</v>
      </c>
      <c r="AT28" s="40">
        <f t="shared" si="17"/>
        <v>0</v>
      </c>
      <c r="AU28" s="49">
        <f t="shared" si="18"/>
        <v>3</v>
      </c>
      <c r="AV28" s="49">
        <f t="shared" si="19"/>
        <v>0</v>
      </c>
      <c r="AW28" s="40">
        <f t="shared" si="20"/>
        <v>0</v>
      </c>
      <c r="AX28" s="49">
        <f t="shared" si="21"/>
        <v>0</v>
      </c>
      <c r="AY28" s="49">
        <f t="shared" si="22"/>
        <v>0</v>
      </c>
      <c r="AZ28" s="50">
        <f t="shared" si="23"/>
        <v>0</v>
      </c>
    </row>
    <row r="29">
      <c r="A29" s="37" t="str">
        <f t="shared" si="24"/>
        <v>#REF!</v>
      </c>
      <c r="B29" s="71" t="s">
        <v>63</v>
      </c>
      <c r="C29" s="73" t="s">
        <v>37</v>
      </c>
      <c r="D29" s="58"/>
      <c r="E29" s="58"/>
      <c r="F29" s="56"/>
      <c r="G29" s="56"/>
      <c r="H29" s="57"/>
      <c r="I29" s="56"/>
      <c r="J29" s="56"/>
      <c r="K29" s="58"/>
      <c r="L29" s="58"/>
      <c r="M29" s="58"/>
      <c r="N29" s="58"/>
      <c r="O29" s="78"/>
      <c r="P29" s="58"/>
      <c r="Q29" s="58"/>
      <c r="R29" s="56"/>
      <c r="S29" s="58"/>
      <c r="T29" s="58"/>
      <c r="U29" s="58"/>
      <c r="V29" s="56"/>
      <c r="W29" s="69"/>
      <c r="X29" s="69"/>
      <c r="Y29" s="58"/>
      <c r="Z29" s="58"/>
      <c r="AA29" s="56"/>
      <c r="AB29" s="58"/>
      <c r="AC29" s="58"/>
      <c r="AD29" s="58"/>
      <c r="AE29" s="58"/>
      <c r="AF29" s="46"/>
      <c r="AG29" s="46" t="s">
        <v>55</v>
      </c>
      <c r="AH29" s="47" t="str">
        <f t="shared" si="5"/>
        <v>OK</v>
      </c>
      <c r="AI29" s="47" t="str">
        <f t="shared" si="6"/>
        <v>OK</v>
      </c>
      <c r="AJ29" s="48" t="str">
        <f t="shared" si="7"/>
        <v>OK</v>
      </c>
      <c r="AK29" s="46">
        <f t="shared" si="8"/>
        <v>0</v>
      </c>
      <c r="AL29" s="49">
        <f t="shared" si="9"/>
        <v>0</v>
      </c>
      <c r="AM29" s="49">
        <f t="shared" si="10"/>
        <v>0</v>
      </c>
      <c r="AN29" s="40">
        <f t="shared" si="11"/>
        <v>0</v>
      </c>
      <c r="AO29" s="49">
        <f t="shared" si="12"/>
        <v>0</v>
      </c>
      <c r="AP29" s="49">
        <f t="shared" si="13"/>
        <v>0</v>
      </c>
      <c r="AQ29" s="40">
        <f t="shared" si="14"/>
        <v>0</v>
      </c>
      <c r="AR29" s="49">
        <f t="shared" si="15"/>
        <v>0</v>
      </c>
      <c r="AS29" s="49">
        <f t="shared" si="16"/>
        <v>0</v>
      </c>
      <c r="AT29" s="40">
        <f t="shared" si="17"/>
        <v>0</v>
      </c>
      <c r="AU29" s="49">
        <f t="shared" si="18"/>
        <v>0</v>
      </c>
      <c r="AV29" s="49">
        <f t="shared" si="19"/>
        <v>0</v>
      </c>
      <c r="AW29" s="40">
        <f t="shared" si="20"/>
        <v>0</v>
      </c>
      <c r="AX29" s="49">
        <f t="shared" si="21"/>
        <v>0</v>
      </c>
      <c r="AY29" s="49">
        <f t="shared" si="22"/>
        <v>0</v>
      </c>
      <c r="AZ29" s="50">
        <f t="shared" si="23"/>
        <v>0</v>
      </c>
    </row>
    <row r="30">
      <c r="A30" s="37" t="str">
        <f t="shared" si="24"/>
        <v>#REF!</v>
      </c>
      <c r="B30" s="71" t="s">
        <v>64</v>
      </c>
      <c r="C30" s="73" t="s">
        <v>65</v>
      </c>
      <c r="D30" s="56"/>
      <c r="E30" s="56"/>
      <c r="F30" s="56"/>
      <c r="G30" s="56"/>
      <c r="H30" s="56"/>
      <c r="I30" s="56"/>
      <c r="J30" s="56"/>
      <c r="K30" s="56"/>
      <c r="L30" s="58"/>
      <c r="M30" s="56"/>
      <c r="N30" s="56"/>
      <c r="O30" s="56"/>
      <c r="P30" s="56"/>
      <c r="Q30" s="56"/>
      <c r="R30" s="44"/>
      <c r="S30" s="44"/>
      <c r="T30" s="44"/>
      <c r="U30" s="44"/>
      <c r="V30" s="44"/>
      <c r="W30" s="44"/>
      <c r="X30" s="44"/>
      <c r="Y30" s="44"/>
      <c r="Z30" s="44"/>
      <c r="AA30" s="44"/>
      <c r="AB30" s="44"/>
      <c r="AC30" s="44"/>
      <c r="AD30" s="44"/>
      <c r="AE30" s="44"/>
      <c r="AF30" s="46"/>
      <c r="AG30" s="46" t="s">
        <v>55</v>
      </c>
      <c r="AH30" s="47" t="str">
        <f t="shared" si="5"/>
        <v>OK</v>
      </c>
      <c r="AI30" s="47" t="str">
        <f t="shared" si="6"/>
        <v>OK</v>
      </c>
      <c r="AJ30" s="48" t="str">
        <f t="shared" si="7"/>
        <v>OK</v>
      </c>
      <c r="AK30" s="46">
        <f t="shared" si="8"/>
        <v>0</v>
      </c>
      <c r="AL30" s="49">
        <f t="shared" si="9"/>
        <v>0</v>
      </c>
      <c r="AM30" s="49">
        <f t="shared" si="10"/>
        <v>0</v>
      </c>
      <c r="AN30" s="40">
        <f t="shared" si="11"/>
        <v>0</v>
      </c>
      <c r="AO30" s="49">
        <f t="shared" si="12"/>
        <v>0</v>
      </c>
      <c r="AP30" s="49">
        <f t="shared" si="13"/>
        <v>0</v>
      </c>
      <c r="AQ30" s="40">
        <f t="shared" si="14"/>
        <v>0</v>
      </c>
      <c r="AR30" s="49">
        <f t="shared" si="15"/>
        <v>0</v>
      </c>
      <c r="AS30" s="49">
        <f t="shared" si="16"/>
        <v>0</v>
      </c>
      <c r="AT30" s="40">
        <f t="shared" si="17"/>
        <v>0</v>
      </c>
      <c r="AU30" s="49">
        <f t="shared" si="18"/>
        <v>0</v>
      </c>
      <c r="AV30" s="49">
        <f t="shared" si="19"/>
        <v>0</v>
      </c>
      <c r="AW30" s="40">
        <f t="shared" si="20"/>
        <v>0</v>
      </c>
      <c r="AX30" s="49">
        <f t="shared" si="21"/>
        <v>0</v>
      </c>
      <c r="AY30" s="49">
        <f t="shared" si="22"/>
        <v>0</v>
      </c>
      <c r="AZ30" s="50">
        <f t="shared" si="23"/>
        <v>0</v>
      </c>
    </row>
    <row r="31">
      <c r="A31" s="37" t="str">
        <f t="shared" si="24"/>
        <v>#REF!</v>
      </c>
      <c r="B31" s="71" t="s">
        <v>66</v>
      </c>
      <c r="C31" s="73" t="s">
        <v>67</v>
      </c>
      <c r="D31" s="56"/>
      <c r="E31" s="79"/>
      <c r="F31" s="79"/>
      <c r="G31" s="56"/>
      <c r="H31" s="60"/>
      <c r="I31" s="56"/>
      <c r="J31" s="58"/>
      <c r="K31" s="56"/>
      <c r="L31" s="56"/>
      <c r="M31" s="80"/>
      <c r="N31" s="56"/>
      <c r="O31" s="56"/>
      <c r="P31" s="58"/>
      <c r="Q31" s="56"/>
      <c r="R31" s="56"/>
      <c r="S31" s="56"/>
      <c r="T31" s="56"/>
      <c r="U31" s="58"/>
      <c r="V31" s="58"/>
      <c r="W31" s="56"/>
      <c r="X31" s="56"/>
      <c r="Y31" s="56"/>
      <c r="Z31" s="56"/>
      <c r="AA31" s="56"/>
      <c r="AB31" s="56"/>
      <c r="AC31" s="58"/>
      <c r="AD31" s="58"/>
      <c r="AE31" s="56"/>
      <c r="AF31" s="46"/>
      <c r="AG31" s="46" t="s">
        <v>55</v>
      </c>
      <c r="AH31" s="47" t="str">
        <f t="shared" si="5"/>
        <v>OK</v>
      </c>
      <c r="AI31" s="47" t="str">
        <f t="shared" si="6"/>
        <v>OK</v>
      </c>
      <c r="AJ31" s="48" t="str">
        <f t="shared" si="7"/>
        <v>OK</v>
      </c>
      <c r="AK31" s="46">
        <f t="shared" si="8"/>
        <v>0</v>
      </c>
      <c r="AL31" s="49">
        <f t="shared" si="9"/>
        <v>0</v>
      </c>
      <c r="AM31" s="49">
        <f t="shared" si="10"/>
        <v>0</v>
      </c>
      <c r="AN31" s="40">
        <f t="shared" si="11"/>
        <v>0</v>
      </c>
      <c r="AO31" s="49">
        <f t="shared" si="12"/>
        <v>0</v>
      </c>
      <c r="AP31" s="49">
        <f t="shared" si="13"/>
        <v>0</v>
      </c>
      <c r="AQ31" s="40">
        <f t="shared" si="14"/>
        <v>0</v>
      </c>
      <c r="AR31" s="49">
        <f t="shared" si="15"/>
        <v>0</v>
      </c>
      <c r="AS31" s="49">
        <f t="shared" si="16"/>
        <v>0</v>
      </c>
      <c r="AT31" s="40">
        <f t="shared" si="17"/>
        <v>0</v>
      </c>
      <c r="AU31" s="49">
        <f t="shared" si="18"/>
        <v>0</v>
      </c>
      <c r="AV31" s="49">
        <f t="shared" si="19"/>
        <v>0</v>
      </c>
      <c r="AW31" s="40">
        <f t="shared" si="20"/>
        <v>0</v>
      </c>
      <c r="AX31" s="49">
        <f t="shared" si="21"/>
        <v>0</v>
      </c>
      <c r="AY31" s="49">
        <f t="shared" si="22"/>
        <v>0</v>
      </c>
      <c r="AZ31" s="50">
        <f t="shared" si="23"/>
        <v>0</v>
      </c>
    </row>
    <row r="32">
      <c r="A32" s="81"/>
      <c r="B32" s="82"/>
      <c r="C32" s="83"/>
      <c r="D32" s="84"/>
      <c r="E32" s="84"/>
      <c r="F32" s="84"/>
      <c r="G32" s="84"/>
      <c r="H32" s="85"/>
      <c r="I32" s="84"/>
      <c r="J32" s="84"/>
      <c r="K32" s="84"/>
      <c r="L32" s="84"/>
      <c r="M32" s="84"/>
      <c r="N32" s="84"/>
      <c r="O32" s="84"/>
      <c r="P32" s="84"/>
      <c r="Q32" s="84"/>
      <c r="R32" s="84"/>
      <c r="S32" s="84"/>
      <c r="T32" s="84"/>
      <c r="U32" s="84"/>
      <c r="V32" s="84"/>
      <c r="W32" s="84"/>
      <c r="X32" s="84"/>
      <c r="Y32" s="84"/>
      <c r="Z32" s="84"/>
      <c r="AA32" s="83"/>
      <c r="AB32" s="84"/>
      <c r="AC32" s="83"/>
      <c r="AD32" s="83"/>
      <c r="AE32" s="83"/>
      <c r="AF32" s="86"/>
      <c r="AG32" s="86"/>
      <c r="AH32" s="86"/>
      <c r="AI32" s="86"/>
      <c r="AJ32" s="86"/>
      <c r="AK32" s="86"/>
      <c r="AL32" s="86"/>
      <c r="AM32" s="86"/>
      <c r="AN32" s="86"/>
      <c r="AO32" s="86"/>
      <c r="AP32" s="86"/>
      <c r="AQ32" s="86"/>
      <c r="AR32" s="86"/>
      <c r="AS32" s="86"/>
      <c r="AT32" s="86"/>
      <c r="AU32" s="86"/>
      <c r="AV32" s="86"/>
      <c r="AW32" s="86"/>
      <c r="AX32" s="86"/>
      <c r="AY32" s="86"/>
      <c r="AZ32" s="86"/>
    </row>
    <row r="33">
      <c r="A33" s="81"/>
      <c r="B33" s="87"/>
      <c r="C33" s="88"/>
      <c r="D33" s="88"/>
      <c r="E33" s="88"/>
      <c r="F33" s="88"/>
      <c r="G33" s="88"/>
      <c r="H33" s="89"/>
      <c r="I33" s="88"/>
      <c r="J33" s="88"/>
      <c r="K33" s="88"/>
      <c r="L33" s="88"/>
      <c r="M33" s="88"/>
      <c r="N33" s="88"/>
      <c r="O33" s="88"/>
      <c r="P33" s="88"/>
      <c r="Q33" s="88"/>
      <c r="R33" s="88"/>
      <c r="S33" s="88"/>
      <c r="T33" s="88"/>
      <c r="U33" s="88"/>
      <c r="V33" s="88"/>
      <c r="W33" s="88"/>
      <c r="X33" s="88"/>
      <c r="Y33" s="88"/>
      <c r="Z33" s="88"/>
      <c r="AA33" s="88"/>
      <c r="AB33" s="88"/>
      <c r="AC33" s="88"/>
      <c r="AD33" s="90"/>
      <c r="AE33" s="90"/>
      <c r="AF33" s="86"/>
      <c r="AG33" s="86"/>
      <c r="AH33" s="86"/>
      <c r="AI33" s="86"/>
      <c r="AJ33" s="86"/>
      <c r="AK33" s="86"/>
      <c r="AL33" s="86"/>
      <c r="AM33" s="86"/>
      <c r="AN33" s="86"/>
      <c r="AO33" s="86"/>
      <c r="AP33" s="86"/>
      <c r="AQ33" s="86"/>
      <c r="AR33" s="86"/>
      <c r="AS33" s="86"/>
      <c r="AT33" s="86"/>
      <c r="AU33" s="86"/>
      <c r="AV33" s="86"/>
      <c r="AW33" s="86"/>
      <c r="AX33" s="86"/>
      <c r="AY33" s="86"/>
      <c r="AZ33" s="86"/>
    </row>
    <row r="34">
      <c r="A34" s="91"/>
      <c r="B34" s="92"/>
      <c r="C34" s="93"/>
      <c r="D34" s="94"/>
      <c r="E34" s="94"/>
      <c r="F34" s="95"/>
      <c r="G34" s="94"/>
      <c r="H34" s="96"/>
      <c r="I34" s="95"/>
      <c r="J34" s="97"/>
      <c r="K34" s="97"/>
      <c r="L34" s="97"/>
      <c r="M34" s="98"/>
      <c r="N34" s="99"/>
      <c r="O34" s="95"/>
      <c r="P34" s="95"/>
      <c r="Q34" s="95"/>
      <c r="R34" s="100"/>
      <c r="S34" s="95"/>
      <c r="T34" s="101"/>
      <c r="U34" s="95"/>
      <c r="V34" s="95"/>
      <c r="W34" s="102"/>
      <c r="X34" s="100"/>
      <c r="Y34" s="95"/>
      <c r="Z34" s="95"/>
      <c r="AA34" s="101"/>
      <c r="AB34" s="95"/>
      <c r="AC34" s="103"/>
      <c r="AD34" s="79"/>
      <c r="AE34" s="104"/>
      <c r="AF34" s="77"/>
      <c r="AG34" s="46"/>
      <c r="AH34" s="47"/>
      <c r="AI34" s="47"/>
      <c r="AJ34" s="48"/>
      <c r="AK34" s="46"/>
      <c r="AL34" s="49"/>
      <c r="AM34" s="49"/>
      <c r="AN34" s="40"/>
      <c r="AO34" s="49"/>
      <c r="AP34" s="49"/>
      <c r="AQ34" s="40"/>
      <c r="AR34" s="49"/>
      <c r="AS34" s="49"/>
      <c r="AT34" s="40"/>
      <c r="AU34" s="49"/>
      <c r="AV34" s="49"/>
      <c r="AW34" s="40"/>
      <c r="AX34" s="49"/>
      <c r="AY34" s="49"/>
      <c r="AZ34" s="50"/>
    </row>
    <row r="35">
      <c r="A35" s="91"/>
      <c r="B35" s="92"/>
      <c r="C35" s="93"/>
      <c r="D35" s="102"/>
      <c r="E35" s="102"/>
      <c r="F35" s="102"/>
      <c r="G35" s="105"/>
      <c r="H35" s="106"/>
      <c r="I35" s="99"/>
      <c r="J35" s="95"/>
      <c r="K35" s="95"/>
      <c r="L35" s="99"/>
      <c r="M35" s="99"/>
      <c r="N35" s="95"/>
      <c r="O35" s="97"/>
      <c r="P35" s="95"/>
      <c r="Q35" s="95"/>
      <c r="R35" s="100"/>
      <c r="S35" s="95"/>
      <c r="T35" s="101"/>
      <c r="U35" s="95"/>
      <c r="V35" s="95"/>
      <c r="W35" s="95"/>
      <c r="X35" s="100"/>
      <c r="Y35" s="95"/>
      <c r="Z35" s="107"/>
      <c r="AA35" s="107"/>
      <c r="AB35" s="107"/>
      <c r="AC35" s="108"/>
      <c r="AD35" s="93"/>
      <c r="AE35" s="93"/>
      <c r="AF35" s="109"/>
      <c r="AG35" s="110"/>
      <c r="AH35" s="47"/>
      <c r="AI35" s="47"/>
      <c r="AJ35" s="48"/>
      <c r="AK35" s="46"/>
      <c r="AL35" s="49"/>
      <c r="AM35" s="49"/>
      <c r="AN35" s="40"/>
      <c r="AO35" s="49"/>
      <c r="AP35" s="49"/>
      <c r="AQ35" s="40"/>
      <c r="AR35" s="49"/>
      <c r="AS35" s="49"/>
      <c r="AT35" s="40"/>
      <c r="AU35" s="49"/>
      <c r="AV35" s="49"/>
      <c r="AW35" s="40"/>
      <c r="AX35" s="49"/>
      <c r="AY35" s="49"/>
      <c r="AZ35" s="50"/>
    </row>
    <row r="36">
      <c r="A36" s="91"/>
      <c r="B36" s="92"/>
      <c r="C36" s="93"/>
      <c r="D36" s="95"/>
      <c r="E36" s="95"/>
      <c r="F36" s="95"/>
      <c r="G36" s="95"/>
      <c r="H36" s="95"/>
      <c r="I36" s="99"/>
      <c r="J36" s="95"/>
      <c r="K36" s="95"/>
      <c r="L36" s="95"/>
      <c r="M36" s="107"/>
      <c r="N36" s="107"/>
      <c r="O36" s="107"/>
      <c r="P36" s="107"/>
      <c r="Q36" s="107"/>
      <c r="R36" s="95"/>
      <c r="S36" s="95"/>
      <c r="T36" s="95"/>
      <c r="U36" s="101"/>
      <c r="V36" s="107"/>
      <c r="W36" s="100"/>
      <c r="X36" s="95"/>
      <c r="Y36" s="111"/>
      <c r="Z36" s="95"/>
      <c r="AA36" s="112"/>
      <c r="AB36" s="95"/>
      <c r="AC36" s="103"/>
      <c r="AD36" s="79"/>
      <c r="AE36" s="104"/>
      <c r="AF36" s="109"/>
      <c r="AG36" s="110"/>
      <c r="AH36" s="47"/>
      <c r="AI36" s="47"/>
      <c r="AJ36" s="48"/>
      <c r="AK36" s="46"/>
      <c r="AL36" s="49"/>
      <c r="AM36" s="49"/>
      <c r="AN36" s="40"/>
      <c r="AO36" s="49"/>
      <c r="AP36" s="49"/>
      <c r="AQ36" s="40"/>
      <c r="AR36" s="49"/>
      <c r="AS36" s="49"/>
      <c r="AT36" s="40"/>
      <c r="AU36" s="49"/>
      <c r="AV36" s="49"/>
      <c r="AW36" s="40"/>
      <c r="AX36" s="49"/>
      <c r="AY36" s="49"/>
      <c r="AZ36" s="50"/>
    </row>
    <row r="37" ht="15.75" customHeight="1">
      <c r="A37" s="91"/>
      <c r="B37" s="113"/>
      <c r="C37" s="114"/>
      <c r="D37" s="100"/>
      <c r="E37" s="115"/>
      <c r="F37" s="95"/>
      <c r="G37" s="116"/>
      <c r="H37" s="117"/>
      <c r="I37" s="100"/>
      <c r="J37" s="100"/>
      <c r="K37" s="100"/>
      <c r="L37" s="100"/>
      <c r="M37" s="101"/>
      <c r="N37" s="100"/>
      <c r="O37" s="100"/>
      <c r="P37" s="100"/>
      <c r="Q37" s="101"/>
      <c r="R37" s="111"/>
      <c r="S37" s="118"/>
      <c r="T37" s="111"/>
      <c r="U37" s="111"/>
      <c r="V37" s="111"/>
      <c r="W37" s="99"/>
      <c r="X37" s="97"/>
      <c r="Y37" s="111"/>
      <c r="Z37" s="111"/>
      <c r="AA37" s="111"/>
      <c r="AB37" s="111"/>
      <c r="AC37" s="95"/>
      <c r="AD37" s="119"/>
      <c r="AE37" s="93"/>
      <c r="AF37" s="120"/>
      <c r="AG37" s="120"/>
      <c r="AH37" s="121"/>
      <c r="AI37" s="121"/>
      <c r="AJ37" s="122"/>
      <c r="AK37" s="122"/>
      <c r="AL37" s="122"/>
      <c r="AM37" s="122"/>
      <c r="AN37" s="122"/>
      <c r="AO37" s="123"/>
      <c r="AP37" s="123"/>
      <c r="AQ37" s="123"/>
      <c r="AR37" s="124"/>
      <c r="AS37" s="124"/>
      <c r="AT37" s="124"/>
      <c r="AU37" s="123"/>
      <c r="AV37" s="123"/>
      <c r="AW37" s="123"/>
      <c r="AX37" s="125"/>
      <c r="AY37" s="125"/>
      <c r="AZ37" s="125"/>
    </row>
    <row r="38" ht="18.0" customHeight="1">
      <c r="A38" s="91"/>
      <c r="B38" s="113"/>
      <c r="C38" s="114"/>
      <c r="D38" s="104"/>
      <c r="E38" s="104"/>
      <c r="F38" s="56"/>
      <c r="G38" s="126"/>
      <c r="H38" s="127"/>
      <c r="I38" s="104"/>
      <c r="J38" s="104"/>
      <c r="K38" s="114"/>
      <c r="L38" s="114"/>
      <c r="M38" s="114"/>
      <c r="N38" s="114"/>
      <c r="O38" s="114"/>
      <c r="P38" s="93"/>
      <c r="Q38" s="93"/>
      <c r="R38" s="104"/>
      <c r="S38" s="93"/>
      <c r="T38" s="128"/>
      <c r="U38" s="128"/>
      <c r="V38" s="128"/>
      <c r="W38" s="129"/>
      <c r="X38" s="129"/>
      <c r="Y38" s="130"/>
      <c r="Z38" s="130"/>
      <c r="AA38" s="130"/>
      <c r="AB38" s="75"/>
      <c r="AC38" s="130"/>
      <c r="AD38" s="79"/>
      <c r="AE38" s="93"/>
      <c r="AF38" s="120"/>
      <c r="AG38" s="120"/>
      <c r="AH38" s="121"/>
      <c r="AI38" s="121"/>
      <c r="AJ38" s="121"/>
      <c r="AK38" s="121"/>
      <c r="AL38" s="121"/>
      <c r="AM38" s="121"/>
      <c r="AN38" s="131"/>
      <c r="AO38" s="132"/>
      <c r="AP38" s="132"/>
      <c r="AQ38" s="132"/>
      <c r="AR38" s="121"/>
      <c r="AS38" s="121"/>
      <c r="AT38" s="121"/>
      <c r="AU38" s="121"/>
      <c r="AV38" s="121"/>
      <c r="AW38" s="121"/>
      <c r="AX38" s="121"/>
      <c r="AY38" s="121"/>
      <c r="AZ38" s="121"/>
    </row>
    <row r="39">
      <c r="A39" s="5"/>
      <c r="B39" s="133"/>
      <c r="C39" s="134" t="s">
        <v>68</v>
      </c>
      <c r="D39" s="134"/>
      <c r="E39" s="134"/>
      <c r="F39" s="134"/>
      <c r="G39" s="134"/>
      <c r="H39" s="135"/>
      <c r="I39" s="136"/>
      <c r="J39" s="137"/>
      <c r="K39" s="134"/>
      <c r="L39" s="134"/>
      <c r="M39" s="134"/>
      <c r="N39" s="138"/>
      <c r="O39" s="134"/>
      <c r="P39" s="134"/>
      <c r="Q39" s="134"/>
      <c r="R39" s="134"/>
      <c r="S39" s="134"/>
      <c r="T39" s="5"/>
      <c r="U39" s="5"/>
      <c r="V39" s="5"/>
      <c r="W39" s="5"/>
      <c r="X39" s="5"/>
      <c r="Y39" s="5"/>
      <c r="AA39" s="5"/>
      <c r="AB39" s="5"/>
      <c r="AC39" s="5"/>
      <c r="AD39" s="5"/>
      <c r="AE39" s="5"/>
      <c r="AF39" s="120"/>
      <c r="AG39" s="120"/>
      <c r="AH39" s="121"/>
      <c r="AI39" s="121"/>
      <c r="AJ39" s="131"/>
      <c r="AK39" s="131"/>
      <c r="AL39" s="131"/>
      <c r="AM39" s="131"/>
      <c r="AN39" s="131"/>
      <c r="AO39" s="139"/>
      <c r="AP39" s="139"/>
      <c r="AQ39" s="139"/>
      <c r="AR39" s="121"/>
      <c r="AS39" s="121"/>
      <c r="AT39" s="121"/>
      <c r="AU39" s="121"/>
      <c r="AV39" s="121"/>
      <c r="AW39" s="121"/>
      <c r="AX39" s="121"/>
      <c r="AY39" s="121"/>
      <c r="AZ39" s="121"/>
    </row>
    <row r="40">
      <c r="A40" s="5"/>
      <c r="B40" s="120"/>
      <c r="C40" s="140" t="s">
        <v>69</v>
      </c>
      <c r="D40" s="121"/>
      <c r="E40" s="131"/>
      <c r="F40" s="131"/>
      <c r="G40" s="131"/>
      <c r="H40" s="131"/>
      <c r="I40" s="131"/>
      <c r="J40" s="131"/>
      <c r="K40" s="141"/>
      <c r="L40" s="141"/>
      <c r="M40" s="141"/>
      <c r="N40" s="121"/>
      <c r="O40" s="121"/>
      <c r="P40" s="121"/>
      <c r="Q40" s="121"/>
      <c r="R40" s="121"/>
      <c r="S40" s="121"/>
      <c r="T40" s="121"/>
      <c r="U40" s="121"/>
      <c r="V40" s="121"/>
    </row>
    <row r="41">
      <c r="A41" s="5"/>
      <c r="B41" s="142"/>
      <c r="C41" s="140" t="s">
        <v>70</v>
      </c>
      <c r="D41" s="121"/>
      <c r="E41" s="143"/>
      <c r="F41" s="143"/>
      <c r="G41" s="143"/>
      <c r="H41" s="143"/>
      <c r="I41" s="143"/>
      <c r="J41" s="143"/>
      <c r="K41" s="132"/>
      <c r="L41" s="132"/>
      <c r="M41" s="132"/>
      <c r="N41" s="121"/>
      <c r="O41" s="121"/>
      <c r="P41" s="121"/>
      <c r="Q41" s="121"/>
      <c r="R41" s="121"/>
      <c r="S41" s="121"/>
      <c r="T41" s="121"/>
      <c r="U41" s="121"/>
      <c r="V41" s="121"/>
    </row>
    <row r="42">
      <c r="A42" s="144"/>
      <c r="B42" s="142"/>
      <c r="C42" s="140" t="s">
        <v>71</v>
      </c>
      <c r="D42" s="121"/>
      <c r="E42" s="132"/>
      <c r="F42" s="132"/>
      <c r="G42" s="132"/>
      <c r="H42" s="132"/>
      <c r="I42" s="132"/>
      <c r="J42" s="132"/>
      <c r="K42" s="145"/>
      <c r="L42" s="145"/>
      <c r="M42" s="145"/>
      <c r="N42" s="121"/>
      <c r="O42" s="121"/>
      <c r="P42" s="121"/>
      <c r="Q42" s="121"/>
      <c r="R42" s="121"/>
      <c r="S42" s="121"/>
      <c r="T42" s="121"/>
      <c r="U42" s="121"/>
      <c r="V42" s="121"/>
    </row>
    <row r="43">
      <c r="A43" s="144"/>
      <c r="B43" s="146"/>
      <c r="C43" s="121"/>
      <c r="D43" s="121"/>
      <c r="E43" s="139"/>
      <c r="F43" s="139"/>
      <c r="G43" s="147" t="s">
        <v>72</v>
      </c>
      <c r="H43" s="147" t="s">
        <v>73</v>
      </c>
      <c r="I43" s="139"/>
      <c r="J43" s="139"/>
      <c r="K43" s="145"/>
      <c r="L43" s="145"/>
      <c r="M43" s="145"/>
      <c r="N43" s="121"/>
      <c r="O43" s="121"/>
      <c r="P43" s="121"/>
      <c r="Q43" s="121"/>
      <c r="R43" s="121"/>
      <c r="S43" s="121"/>
      <c r="T43" s="121"/>
      <c r="U43" s="121"/>
      <c r="V43" s="121"/>
    </row>
    <row r="44">
      <c r="A44" s="144"/>
      <c r="B44" s="146"/>
      <c r="C44" s="121"/>
      <c r="D44" s="121"/>
      <c r="E44" s="139"/>
      <c r="F44" s="139"/>
      <c r="G44" s="148" t="s">
        <v>55</v>
      </c>
      <c r="H44" s="147">
        <v>15.0</v>
      </c>
      <c r="I44" s="139"/>
      <c r="J44" s="139"/>
      <c r="K44" s="132"/>
      <c r="L44" s="132"/>
      <c r="M44" s="132"/>
      <c r="N44" s="121"/>
      <c r="O44" s="121"/>
      <c r="P44" s="121"/>
      <c r="Q44" s="121"/>
      <c r="R44" s="121"/>
      <c r="S44" s="121"/>
      <c r="T44" s="121"/>
      <c r="U44" s="121"/>
      <c r="V44" s="121"/>
    </row>
    <row r="45">
      <c r="A45" s="144"/>
      <c r="B45" s="146"/>
      <c r="C45" s="146"/>
      <c r="D45" s="121"/>
      <c r="E45" s="121"/>
      <c r="F45" s="145"/>
      <c r="G45" s="148" t="s">
        <v>43</v>
      </c>
      <c r="H45" s="147">
        <v>14.0</v>
      </c>
      <c r="I45" s="145"/>
      <c r="J45" s="145"/>
      <c r="K45" s="145"/>
      <c r="L45" s="149"/>
      <c r="M45" s="149"/>
      <c r="N45" s="149"/>
      <c r="O45" s="121"/>
      <c r="P45" s="121"/>
      <c r="Q45" s="121"/>
      <c r="R45" s="121"/>
      <c r="S45" s="121"/>
      <c r="T45" s="121"/>
      <c r="U45" s="121"/>
      <c r="V45" s="121"/>
      <c r="W45" s="121"/>
    </row>
    <row r="46">
      <c r="A46" s="150"/>
      <c r="B46" s="146"/>
      <c r="C46" s="146"/>
      <c r="D46" s="121"/>
      <c r="E46" s="121"/>
      <c r="F46" s="145"/>
      <c r="G46" s="148" t="s">
        <v>27</v>
      </c>
      <c r="H46" s="147">
        <v>13.0</v>
      </c>
      <c r="I46" s="145"/>
      <c r="J46" s="145"/>
      <c r="K46" s="145"/>
      <c r="L46" s="149"/>
      <c r="M46" s="149"/>
      <c r="N46" s="149"/>
      <c r="O46" s="121"/>
      <c r="P46" s="121"/>
      <c r="Q46" s="121"/>
      <c r="R46" s="121"/>
      <c r="S46" s="121"/>
      <c r="T46" s="121"/>
      <c r="U46" s="121"/>
      <c r="V46" s="121"/>
      <c r="W46" s="121"/>
    </row>
    <row r="47">
      <c r="A47" s="150"/>
      <c r="B47" s="146"/>
      <c r="C47" s="146"/>
      <c r="D47" s="121"/>
      <c r="E47" s="121"/>
      <c r="F47" s="132"/>
      <c r="G47" s="148" t="s">
        <v>74</v>
      </c>
      <c r="H47" s="147">
        <v>15.0</v>
      </c>
      <c r="I47" s="132"/>
      <c r="J47" s="132"/>
      <c r="K47" s="132"/>
      <c r="L47" s="149"/>
      <c r="M47" s="149"/>
      <c r="N47" s="149"/>
      <c r="O47" s="121"/>
      <c r="P47" s="121"/>
      <c r="Q47" s="121"/>
      <c r="R47" s="121"/>
      <c r="S47" s="121"/>
      <c r="T47" s="121"/>
      <c r="U47" s="121"/>
      <c r="V47" s="121"/>
      <c r="W47" s="121"/>
    </row>
    <row r="48">
      <c r="A48" s="146"/>
      <c r="B48" s="151"/>
      <c r="C48" s="152"/>
      <c r="D48" s="132"/>
      <c r="E48" s="132"/>
      <c r="F48" s="132"/>
      <c r="G48" s="132"/>
      <c r="H48" s="153"/>
      <c r="I48" s="132"/>
      <c r="J48" s="132"/>
      <c r="K48" s="132"/>
      <c r="L48" s="132"/>
      <c r="M48" s="132"/>
      <c r="N48" s="132"/>
      <c r="O48" s="132"/>
      <c r="P48" s="132"/>
      <c r="Q48" s="132"/>
      <c r="R48" s="132"/>
      <c r="S48" s="132"/>
      <c r="T48" s="146"/>
      <c r="U48" s="146"/>
      <c r="V48" s="146"/>
      <c r="W48" s="146"/>
      <c r="X48" s="146"/>
      <c r="Y48" s="146"/>
      <c r="Z48" s="154"/>
      <c r="AA48" s="146"/>
      <c r="AB48" s="146"/>
      <c r="AC48" s="146"/>
      <c r="AD48" s="146"/>
      <c r="AE48" s="146"/>
      <c r="AF48" s="146"/>
      <c r="AG48" s="146"/>
      <c r="AH48" s="121"/>
      <c r="AI48" s="121"/>
      <c r="AJ48" s="149"/>
      <c r="AK48" s="149"/>
      <c r="AL48" s="149"/>
      <c r="AM48" s="149"/>
      <c r="AN48" s="149"/>
      <c r="AO48" s="155"/>
      <c r="AP48" s="155"/>
      <c r="AQ48" s="155"/>
      <c r="AR48" s="121"/>
      <c r="AS48" s="121"/>
      <c r="AT48" s="121"/>
      <c r="AU48" s="121"/>
      <c r="AV48" s="121"/>
      <c r="AW48" s="121"/>
      <c r="AX48" s="121"/>
      <c r="AY48" s="121"/>
      <c r="AZ48" s="121"/>
    </row>
    <row r="49" hidden="1">
      <c r="A49" s="146"/>
      <c r="B49" s="151" t="s">
        <v>75</v>
      </c>
      <c r="C49" s="156"/>
      <c r="D49" s="157">
        <f t="shared" ref="D49:I49" si="25">countif(D7:D33,"6AM")</f>
        <v>0</v>
      </c>
      <c r="E49" s="157">
        <f t="shared" si="25"/>
        <v>0</v>
      </c>
      <c r="F49" s="157">
        <f t="shared" si="25"/>
        <v>0</v>
      </c>
      <c r="G49" s="157">
        <f t="shared" si="25"/>
        <v>0</v>
      </c>
      <c r="H49" s="158">
        <f t="shared" si="25"/>
        <v>0</v>
      </c>
      <c r="I49" s="157">
        <f t="shared" si="25"/>
        <v>0</v>
      </c>
      <c r="J49" s="157"/>
      <c r="K49" s="157">
        <f t="shared" ref="K49:P49" si="26">countif(K7:K33,"6AM")</f>
        <v>0</v>
      </c>
      <c r="L49" s="157">
        <f t="shared" si="26"/>
        <v>0</v>
      </c>
      <c r="M49" s="157">
        <f t="shared" si="26"/>
        <v>0</v>
      </c>
      <c r="N49" s="157">
        <f t="shared" si="26"/>
        <v>0</v>
      </c>
      <c r="O49" s="157">
        <f t="shared" si="26"/>
        <v>0</v>
      </c>
      <c r="P49" s="157">
        <f t="shared" si="26"/>
        <v>0</v>
      </c>
      <c r="Q49" s="157">
        <f>countif(AE7:AE33,"6AM")</f>
        <v>0</v>
      </c>
      <c r="R49" s="157">
        <f t="shared" ref="R49:S49" si="27">countif(#REF!,"6AM")</f>
        <v>0</v>
      </c>
      <c r="S49" s="157">
        <f t="shared" si="27"/>
        <v>0</v>
      </c>
      <c r="T49" s="146"/>
      <c r="U49" s="146"/>
      <c r="V49" s="146"/>
      <c r="W49" s="146"/>
      <c r="X49" s="146"/>
      <c r="Y49" s="146"/>
      <c r="Z49" s="154"/>
      <c r="AA49" s="146"/>
      <c r="AB49" s="146"/>
      <c r="AC49" s="146"/>
      <c r="AD49" s="146"/>
      <c r="AE49" s="146"/>
      <c r="AF49" s="159"/>
      <c r="AG49" s="159"/>
      <c r="AH49" s="121"/>
      <c r="AI49" s="121"/>
      <c r="AJ49" s="149"/>
      <c r="AK49" s="149"/>
      <c r="AL49" s="149"/>
      <c r="AM49" s="149"/>
      <c r="AN49" s="149"/>
      <c r="AO49" s="149"/>
      <c r="AP49" s="149"/>
      <c r="AQ49" s="149"/>
      <c r="AR49" s="121"/>
      <c r="AS49" s="121"/>
      <c r="AT49" s="121"/>
      <c r="AU49" s="121"/>
      <c r="AV49" s="121"/>
      <c r="AW49" s="121"/>
      <c r="AX49" s="121"/>
      <c r="AY49" s="121"/>
      <c r="AZ49" s="121"/>
    </row>
    <row r="50" hidden="1">
      <c r="A50" s="146"/>
      <c r="B50" s="151" t="s">
        <v>76</v>
      </c>
      <c r="C50" s="156"/>
      <c r="D50" s="157">
        <f t="shared" ref="D50:I50" si="28">countif(D7:D33,"2PM")+countif(D7:D33,"1PM")</f>
        <v>0</v>
      </c>
      <c r="E50" s="157">
        <f t="shared" si="28"/>
        <v>0</v>
      </c>
      <c r="F50" s="157">
        <f t="shared" si="28"/>
        <v>0</v>
      </c>
      <c r="G50" s="157">
        <f t="shared" si="28"/>
        <v>0</v>
      </c>
      <c r="H50" s="157">
        <f t="shared" si="28"/>
        <v>0</v>
      </c>
      <c r="I50" s="157">
        <f t="shared" si="28"/>
        <v>0</v>
      </c>
      <c r="J50" s="157"/>
      <c r="K50" s="157">
        <f t="shared" ref="K50:P50" si="29">countif(K7:K33,"2PM")+countif(K7:K33,"1PM")</f>
        <v>0</v>
      </c>
      <c r="L50" s="157">
        <f t="shared" si="29"/>
        <v>0</v>
      </c>
      <c r="M50" s="157">
        <f t="shared" si="29"/>
        <v>0</v>
      </c>
      <c r="N50" s="157">
        <f t="shared" si="29"/>
        <v>0</v>
      </c>
      <c r="O50" s="157">
        <f t="shared" si="29"/>
        <v>0</v>
      </c>
      <c r="P50" s="157">
        <f t="shared" si="29"/>
        <v>0</v>
      </c>
      <c r="Q50" s="157">
        <f>countif(AE7:AE33,"2PM")+countif(AE7:AE33,"1PM")</f>
        <v>0</v>
      </c>
      <c r="R50" s="157">
        <f t="shared" ref="R50:S50" si="30">countif(#REF!,"2PM")+countif(#REF!,"1PM")</f>
        <v>0</v>
      </c>
      <c r="S50" s="157">
        <f t="shared" si="30"/>
        <v>0</v>
      </c>
      <c r="T50" s="146"/>
      <c r="U50" s="146"/>
      <c r="V50" s="146"/>
      <c r="W50" s="146"/>
      <c r="X50" s="146"/>
      <c r="Y50" s="146"/>
      <c r="Z50" s="154"/>
      <c r="AA50" s="146"/>
      <c r="AB50" s="146"/>
      <c r="AC50" s="146"/>
      <c r="AD50" s="146"/>
      <c r="AE50" s="146"/>
      <c r="AF50" s="159"/>
      <c r="AG50" s="159"/>
      <c r="AH50" s="121"/>
      <c r="AI50" s="121"/>
      <c r="AJ50" s="149"/>
      <c r="AK50" s="149"/>
      <c r="AL50" s="149"/>
      <c r="AM50" s="149"/>
      <c r="AN50" s="149"/>
      <c r="AO50" s="149"/>
      <c r="AP50" s="149"/>
      <c r="AQ50" s="149"/>
      <c r="AR50" s="121"/>
      <c r="AS50" s="121"/>
      <c r="AT50" s="121"/>
      <c r="AU50" s="121"/>
      <c r="AV50" s="121"/>
      <c r="AW50" s="121"/>
      <c r="AX50" s="121"/>
      <c r="AY50" s="121"/>
      <c r="AZ50" s="121"/>
    </row>
    <row r="51" hidden="1">
      <c r="A51" s="146"/>
      <c r="B51" s="151" t="s">
        <v>77</v>
      </c>
      <c r="C51" s="156"/>
      <c r="D51" s="157">
        <f t="shared" ref="D51:I51" si="31">countif(D7:D33,"10PM")+countif(D7:D33,"8PM")</f>
        <v>0</v>
      </c>
      <c r="E51" s="157">
        <f t="shared" si="31"/>
        <v>0</v>
      </c>
      <c r="F51" s="157">
        <f t="shared" si="31"/>
        <v>0</v>
      </c>
      <c r="G51" s="157">
        <f t="shared" si="31"/>
        <v>0</v>
      </c>
      <c r="H51" s="157">
        <f t="shared" si="31"/>
        <v>0</v>
      </c>
      <c r="I51" s="157">
        <f t="shared" si="31"/>
        <v>0</v>
      </c>
      <c r="J51" s="157"/>
      <c r="K51" s="157">
        <f t="shared" ref="K51:P51" si="32">countif(K7:K33,"10PM")+countif(K7:K33,"8PM")</f>
        <v>0</v>
      </c>
      <c r="L51" s="157">
        <f t="shared" si="32"/>
        <v>0</v>
      </c>
      <c r="M51" s="157">
        <f t="shared" si="32"/>
        <v>0</v>
      </c>
      <c r="N51" s="157">
        <f t="shared" si="32"/>
        <v>0</v>
      </c>
      <c r="O51" s="157">
        <f t="shared" si="32"/>
        <v>0</v>
      </c>
      <c r="P51" s="157">
        <f t="shared" si="32"/>
        <v>0</v>
      </c>
      <c r="Q51" s="157">
        <f>countif(AE7:AE33,"10PM")+countif(AE7:AE33,"8PM")</f>
        <v>0</v>
      </c>
      <c r="R51" s="157">
        <f t="shared" ref="R51:S51" si="33">countif(#REF!,"10PM")+countif(#REF!,"8PM")</f>
        <v>0</v>
      </c>
      <c r="S51" s="157">
        <f t="shared" si="33"/>
        <v>0</v>
      </c>
      <c r="T51" s="146"/>
      <c r="U51" s="146"/>
      <c r="V51" s="146"/>
      <c r="W51" s="146"/>
      <c r="X51" s="146"/>
      <c r="Y51" s="146"/>
      <c r="Z51" s="154"/>
      <c r="AA51" s="146"/>
      <c r="AB51" s="146"/>
      <c r="AC51" s="146"/>
      <c r="AD51" s="146"/>
      <c r="AE51" s="146"/>
      <c r="AF51" s="159"/>
      <c r="AG51" s="159"/>
      <c r="AH51" s="121"/>
      <c r="AI51" s="121"/>
      <c r="AJ51" s="155"/>
      <c r="AK51" s="155"/>
      <c r="AL51" s="155"/>
      <c r="AM51" s="155"/>
      <c r="AN51" s="155"/>
      <c r="AO51" s="160"/>
      <c r="AP51" s="160"/>
      <c r="AQ51" s="160"/>
      <c r="AR51" s="121"/>
      <c r="AS51" s="121"/>
      <c r="AT51" s="121"/>
      <c r="AU51" s="121"/>
      <c r="AV51" s="121"/>
      <c r="AW51" s="121"/>
      <c r="AX51" s="121"/>
      <c r="AY51" s="121"/>
      <c r="AZ51" s="121"/>
    </row>
    <row r="52" hidden="1">
      <c r="A52" s="146"/>
      <c r="B52" s="151" t="s">
        <v>78</v>
      </c>
      <c r="C52" s="156"/>
      <c r="D52" s="161">
        <f t="shared" ref="D52:I52" si="34">countif(D7:D33,"1PM")</f>
        <v>0</v>
      </c>
      <c r="E52" s="161">
        <f t="shared" si="34"/>
        <v>0</v>
      </c>
      <c r="F52" s="161">
        <f t="shared" si="34"/>
        <v>0</v>
      </c>
      <c r="G52" s="161">
        <f t="shared" si="34"/>
        <v>0</v>
      </c>
      <c r="H52" s="161">
        <f t="shared" si="34"/>
        <v>0</v>
      </c>
      <c r="I52" s="161">
        <f t="shared" si="34"/>
        <v>0</v>
      </c>
      <c r="J52" s="161"/>
      <c r="K52" s="161">
        <f t="shared" ref="K52:P52" si="35">countif(K7:K33,"1PM")</f>
        <v>0</v>
      </c>
      <c r="L52" s="161">
        <f t="shared" si="35"/>
        <v>0</v>
      </c>
      <c r="M52" s="162">
        <f t="shared" si="35"/>
        <v>0</v>
      </c>
      <c r="N52" s="161">
        <f t="shared" si="35"/>
        <v>0</v>
      </c>
      <c r="O52" s="161">
        <f t="shared" si="35"/>
        <v>0</v>
      </c>
      <c r="P52" s="161">
        <f t="shared" si="35"/>
        <v>0</v>
      </c>
      <c r="Q52" s="161">
        <f>countif(AE7:AE33,"1PM")</f>
        <v>0</v>
      </c>
      <c r="R52" s="161">
        <f t="shared" ref="R52:S52" si="36">countif(#REF!,"1PM")</f>
        <v>0</v>
      </c>
      <c r="S52" s="161">
        <f t="shared" si="36"/>
        <v>0</v>
      </c>
      <c r="T52" s="146"/>
      <c r="U52" s="146"/>
      <c r="V52" s="146"/>
      <c r="W52" s="146"/>
      <c r="X52" s="146"/>
      <c r="Y52" s="146"/>
      <c r="Z52" s="154"/>
      <c r="AA52" s="146"/>
      <c r="AB52" s="146"/>
      <c r="AC52" s="146"/>
      <c r="AD52" s="146"/>
      <c r="AE52" s="146"/>
      <c r="AF52" s="159"/>
      <c r="AG52" s="159"/>
      <c r="AH52" s="121"/>
      <c r="AI52" s="121"/>
      <c r="AJ52" s="149"/>
      <c r="AK52" s="149"/>
      <c r="AL52" s="149"/>
      <c r="AM52" s="149"/>
      <c r="AN52" s="149"/>
      <c r="AO52" s="163"/>
      <c r="AP52" s="163"/>
      <c r="AQ52" s="163"/>
      <c r="AR52" s="121"/>
      <c r="AS52" s="121"/>
      <c r="AT52" s="121"/>
      <c r="AU52" s="121"/>
      <c r="AV52" s="121"/>
      <c r="AW52" s="121"/>
      <c r="AX52" s="121"/>
      <c r="AY52" s="121"/>
      <c r="AZ52" s="121"/>
    </row>
    <row r="53" hidden="1">
      <c r="A53" s="146"/>
      <c r="B53" s="151" t="s">
        <v>79</v>
      </c>
      <c r="C53" s="156"/>
      <c r="D53" s="157">
        <f t="shared" ref="D53:I53" si="37">countif(D7:D33,"DORAL*AM*")+countif(D7:D33,"TC*AM*")++countif(D7:D33,"CB*AM*")</f>
        <v>0</v>
      </c>
      <c r="E53" s="157">
        <f t="shared" si="37"/>
        <v>0</v>
      </c>
      <c r="F53" s="157">
        <f t="shared" si="37"/>
        <v>0</v>
      </c>
      <c r="G53" s="157">
        <f t="shared" si="37"/>
        <v>0</v>
      </c>
      <c r="H53" s="158">
        <f t="shared" si="37"/>
        <v>0</v>
      </c>
      <c r="I53" s="157">
        <f t="shared" si="37"/>
        <v>0</v>
      </c>
      <c r="J53" s="157"/>
      <c r="K53" s="157">
        <f t="shared" ref="K53:P53" si="38">countif(K7:K33,"DORAL*AM*")+countif(K7:K33,"TC*AM*")++countif(K7:K33,"CB*AM*")</f>
        <v>0</v>
      </c>
      <c r="L53" s="157">
        <f t="shared" si="38"/>
        <v>0</v>
      </c>
      <c r="M53" s="157">
        <f t="shared" si="38"/>
        <v>0</v>
      </c>
      <c r="N53" s="157">
        <f t="shared" si="38"/>
        <v>0</v>
      </c>
      <c r="O53" s="157">
        <f t="shared" si="38"/>
        <v>0</v>
      </c>
      <c r="P53" s="157">
        <f t="shared" si="38"/>
        <v>0</v>
      </c>
      <c r="Q53" s="157">
        <f>countif(AE7:AE33,"DORAL*AM*")+countif(AE7:AE33,"TC*AM*")++countif(AE7:AE33,"CB*AM*")</f>
        <v>0</v>
      </c>
      <c r="R53" s="157">
        <f t="shared" ref="R53:S53" si="39">countif(#REF!,"DORAL*AM*")+countif(#REF!,"TC*AM*")++countif(#REF!,"CB*AM*")</f>
        <v>0</v>
      </c>
      <c r="S53" s="157">
        <f t="shared" si="39"/>
        <v>0</v>
      </c>
      <c r="T53" s="146"/>
      <c r="U53" s="146"/>
      <c r="V53" s="146"/>
      <c r="W53" s="146"/>
      <c r="X53" s="146"/>
      <c r="Y53" s="146"/>
      <c r="Z53" s="154"/>
      <c r="AA53" s="146"/>
      <c r="AB53" s="146"/>
      <c r="AC53" s="146"/>
      <c r="AD53" s="146"/>
      <c r="AE53" s="146"/>
      <c r="AF53" s="159"/>
      <c r="AG53" s="159"/>
      <c r="AH53" s="121"/>
      <c r="AI53" s="121"/>
      <c r="AJ53" s="149"/>
      <c r="AK53" s="149"/>
      <c r="AL53" s="149"/>
      <c r="AM53" s="149"/>
      <c r="AN53" s="149"/>
      <c r="AO53" s="164"/>
      <c r="AP53" s="164"/>
      <c r="AQ53" s="164"/>
      <c r="AR53" s="121"/>
      <c r="AS53" s="121"/>
      <c r="AT53" s="121"/>
      <c r="AU53" s="121"/>
      <c r="AV53" s="121"/>
      <c r="AW53" s="121"/>
      <c r="AX53" s="121"/>
      <c r="AY53" s="121"/>
      <c r="AZ53" s="121"/>
    </row>
    <row r="54" hidden="1">
      <c r="A54" s="165"/>
      <c r="B54" s="166" t="s">
        <v>80</v>
      </c>
      <c r="C54" s="167"/>
      <c r="D54" s="157">
        <f t="shared" ref="D54:I54" si="40">countif(D7:D33,"DORAL*PM*")+countif(D7:D33,"TC*PM*")+countif(D7:D33,"CB*PM*")</f>
        <v>0</v>
      </c>
      <c r="E54" s="157">
        <f t="shared" si="40"/>
        <v>0</v>
      </c>
      <c r="F54" s="157">
        <f t="shared" si="40"/>
        <v>0</v>
      </c>
      <c r="G54" s="157">
        <f t="shared" si="40"/>
        <v>0</v>
      </c>
      <c r="H54" s="158">
        <f t="shared" si="40"/>
        <v>0</v>
      </c>
      <c r="I54" s="157">
        <f t="shared" si="40"/>
        <v>0</v>
      </c>
      <c r="J54" s="157"/>
      <c r="K54" s="157">
        <f t="shared" ref="K54:P54" si="41">countif(K7:K33,"DORAL*PM*")+countif(K7:K33,"TC*PM*")+countif(K7:K33,"CB*PM*")</f>
        <v>0</v>
      </c>
      <c r="L54" s="157">
        <f t="shared" si="41"/>
        <v>0</v>
      </c>
      <c r="M54" s="157">
        <f t="shared" si="41"/>
        <v>0</v>
      </c>
      <c r="N54" s="157">
        <f t="shared" si="41"/>
        <v>0</v>
      </c>
      <c r="O54" s="157">
        <f t="shared" si="41"/>
        <v>0</v>
      </c>
      <c r="P54" s="157">
        <f t="shared" si="41"/>
        <v>0</v>
      </c>
      <c r="Q54" s="157">
        <f>countif(AE7:AE33,"DORAL*PM*")+countif(AE7:AE33,"TC*PM*")+countif(AE7:AE33,"CB*PM*")</f>
        <v>0</v>
      </c>
      <c r="R54" s="157">
        <f t="shared" ref="R54:S54" si="42">countif(#REF!,"DORAL*PM*")+countif(#REF!,"TC*PM*")+countif(#REF!,"CB*PM*")</f>
        <v>0</v>
      </c>
      <c r="S54" s="157">
        <f t="shared" si="42"/>
        <v>0</v>
      </c>
      <c r="T54" s="159"/>
      <c r="U54" s="159"/>
      <c r="V54" s="159"/>
      <c r="W54" s="159"/>
      <c r="X54" s="159"/>
      <c r="Y54" s="159"/>
      <c r="Z54" s="154"/>
      <c r="AA54" s="159"/>
      <c r="AB54" s="159"/>
      <c r="AC54" s="159"/>
      <c r="AD54" s="159"/>
      <c r="AE54" s="159"/>
      <c r="AF54" s="159"/>
      <c r="AG54" s="159"/>
      <c r="AH54" s="121"/>
      <c r="AI54" s="121"/>
      <c r="AJ54" s="160"/>
      <c r="AK54" s="160"/>
      <c r="AL54" s="160"/>
      <c r="AM54" s="160"/>
      <c r="AN54" s="160"/>
      <c r="AO54" s="164"/>
      <c r="AP54" s="164"/>
      <c r="AQ54" s="164"/>
      <c r="AR54" s="121"/>
      <c r="AS54" s="121"/>
      <c r="AT54" s="121"/>
      <c r="AU54" s="121"/>
      <c r="AV54" s="121"/>
      <c r="AW54" s="121"/>
      <c r="AX54" s="121"/>
      <c r="AY54" s="121"/>
      <c r="AZ54" s="121"/>
    </row>
    <row r="55" hidden="1">
      <c r="A55" s="165"/>
      <c r="B55" s="166" t="s">
        <v>81</v>
      </c>
      <c r="C55" s="150"/>
      <c r="D55" s="168">
        <f t="shared" ref="D55:I55" si="43">countif(D7:D35,"PED*")</f>
        <v>0</v>
      </c>
      <c r="E55" s="168">
        <f t="shared" si="43"/>
        <v>0</v>
      </c>
      <c r="F55" s="168">
        <f t="shared" si="43"/>
        <v>0</v>
      </c>
      <c r="G55" s="168">
        <f t="shared" si="43"/>
        <v>0</v>
      </c>
      <c r="H55" s="168">
        <f t="shared" si="43"/>
        <v>0</v>
      </c>
      <c r="I55" s="168">
        <f t="shared" si="43"/>
        <v>0</v>
      </c>
      <c r="J55" s="168"/>
      <c r="K55" s="168">
        <f t="shared" ref="K55:P55" si="44">countif(K7:K35,"PED*")</f>
        <v>0</v>
      </c>
      <c r="L55" s="168">
        <f t="shared" si="44"/>
        <v>0</v>
      </c>
      <c r="M55" s="168">
        <f t="shared" si="44"/>
        <v>0</v>
      </c>
      <c r="N55" s="168">
        <f t="shared" si="44"/>
        <v>0</v>
      </c>
      <c r="O55" s="168">
        <f t="shared" si="44"/>
        <v>0</v>
      </c>
      <c r="P55" s="168">
        <f t="shared" si="44"/>
        <v>0</v>
      </c>
      <c r="Q55" s="168">
        <f>countif(AE7:AE35,"PED*")</f>
        <v>0</v>
      </c>
      <c r="R55" s="168">
        <f t="shared" ref="R55:S55" si="45">countif(#REF!,"PED*")</f>
        <v>0</v>
      </c>
      <c r="S55" s="168">
        <f t="shared" si="45"/>
        <v>0</v>
      </c>
      <c r="T55" s="159"/>
      <c r="U55" s="159"/>
      <c r="V55" s="159"/>
      <c r="W55" s="159"/>
      <c r="X55" s="159"/>
      <c r="Y55" s="159"/>
      <c r="Z55" s="154"/>
      <c r="AA55" s="159"/>
      <c r="AB55" s="159"/>
      <c r="AC55" s="159"/>
      <c r="AD55" s="159"/>
      <c r="AE55" s="159"/>
      <c r="AF55" s="159"/>
      <c r="AG55" s="159"/>
      <c r="AH55" s="121"/>
      <c r="AI55" s="121"/>
      <c r="AJ55" s="163"/>
      <c r="AK55" s="163"/>
      <c r="AL55" s="163"/>
      <c r="AM55" s="163"/>
      <c r="AN55" s="163"/>
      <c r="AO55" s="169"/>
      <c r="AP55" s="169"/>
      <c r="AQ55" s="169"/>
      <c r="AR55" s="121"/>
      <c r="AS55" s="121"/>
      <c r="AT55" s="121"/>
      <c r="AU55" s="121"/>
      <c r="AV55" s="121"/>
      <c r="AW55" s="121"/>
      <c r="AX55" s="121"/>
      <c r="AY55" s="121"/>
      <c r="AZ55" s="121"/>
    </row>
    <row r="56" hidden="1">
      <c r="A56" s="165"/>
      <c r="B56" s="166" t="s">
        <v>82</v>
      </c>
      <c r="C56" s="150"/>
      <c r="D56" s="170" t="str">
        <f t="shared" ref="D56:I56" si="46">countif(D7:D35,"PED*")/(COUNTIF(#REF!,"PED*"))</f>
        <v>#DIV/0!</v>
      </c>
      <c r="E56" s="170" t="str">
        <f t="shared" si="46"/>
        <v>#DIV/0!</v>
      </c>
      <c r="F56" s="170" t="str">
        <f t="shared" si="46"/>
        <v>#DIV/0!</v>
      </c>
      <c r="G56" s="170" t="str">
        <f t="shared" si="46"/>
        <v>#DIV/0!</v>
      </c>
      <c r="H56" s="170" t="str">
        <f t="shared" si="46"/>
        <v>#DIV/0!</v>
      </c>
      <c r="I56" s="170" t="str">
        <f t="shared" si="46"/>
        <v>#DIV/0!</v>
      </c>
      <c r="J56" s="170"/>
      <c r="K56" s="170" t="str">
        <f t="shared" ref="K56:P56" si="47">countif(K7:K35,"PED*")/(COUNTIF(#REF!,"PED*"))</f>
        <v>#DIV/0!</v>
      </c>
      <c r="L56" s="170" t="str">
        <f t="shared" si="47"/>
        <v>#DIV/0!</v>
      </c>
      <c r="M56" s="170" t="str">
        <f t="shared" si="47"/>
        <v>#DIV/0!</v>
      </c>
      <c r="N56" s="170" t="str">
        <f t="shared" si="47"/>
        <v>#DIV/0!</v>
      </c>
      <c r="O56" s="170" t="str">
        <f t="shared" si="47"/>
        <v>#DIV/0!</v>
      </c>
      <c r="P56" s="170" t="str">
        <f t="shared" si="47"/>
        <v>#DIV/0!</v>
      </c>
      <c r="Q56" s="170" t="str">
        <f>countif(AE7:AE35,"PED*")/(COUNTIF(#REF!,"PED*"))</f>
        <v>#DIV/0!</v>
      </c>
      <c r="R56" s="170" t="str">
        <f t="shared" ref="R56:S56" si="48">countif(#REF!,"PED*")/(COUNTIF(#REF!,"PED*"))</f>
        <v>#DIV/0!</v>
      </c>
      <c r="S56" s="170" t="str">
        <f t="shared" si="48"/>
        <v>#DIV/0!</v>
      </c>
      <c r="T56" s="159"/>
      <c r="U56" s="159"/>
      <c r="V56" s="159"/>
      <c r="W56" s="159"/>
      <c r="X56" s="159"/>
      <c r="Y56" s="159"/>
      <c r="Z56" s="154"/>
      <c r="AA56" s="159"/>
      <c r="AB56" s="159"/>
      <c r="AC56" s="159"/>
      <c r="AD56" s="159"/>
      <c r="AE56" s="159"/>
      <c r="AF56" s="159"/>
      <c r="AG56" s="159"/>
      <c r="AH56" s="121"/>
      <c r="AI56" s="121"/>
      <c r="AJ56" s="164"/>
      <c r="AK56" s="164"/>
      <c r="AL56" s="164"/>
      <c r="AM56" s="164"/>
      <c r="AN56" s="164"/>
      <c r="AO56" s="149"/>
      <c r="AP56" s="149"/>
      <c r="AQ56" s="149"/>
      <c r="AR56" s="121"/>
      <c r="AS56" s="121"/>
      <c r="AT56" s="121"/>
      <c r="AU56" s="121"/>
      <c r="AV56" s="121"/>
      <c r="AW56" s="121"/>
      <c r="AX56" s="121"/>
      <c r="AY56" s="121"/>
      <c r="AZ56" s="121"/>
    </row>
    <row r="57" hidden="1">
      <c r="A57" s="165"/>
      <c r="B57" s="151" t="s">
        <v>83</v>
      </c>
      <c r="C57" s="150"/>
      <c r="D57" s="171" t="str">
        <f t="shared" ref="D57:I57" si="49">D53/((countif(#REF!,"DORAL*AM*")+countif(#REF!,"TC*AM*")+countif(#REF!,"CB*AM*")))</f>
        <v>#DIV/0!</v>
      </c>
      <c r="E57" s="171" t="str">
        <f t="shared" si="49"/>
        <v>#DIV/0!</v>
      </c>
      <c r="F57" s="171" t="str">
        <f t="shared" si="49"/>
        <v>#DIV/0!</v>
      </c>
      <c r="G57" s="171" t="str">
        <f t="shared" si="49"/>
        <v>#DIV/0!</v>
      </c>
      <c r="H57" s="171" t="str">
        <f t="shared" si="49"/>
        <v>#DIV/0!</v>
      </c>
      <c r="I57" s="171" t="str">
        <f t="shared" si="49"/>
        <v>#DIV/0!</v>
      </c>
      <c r="J57" s="171"/>
      <c r="K57" s="171" t="str">
        <f t="shared" ref="K57:S57" si="50">K53/((countif(#REF!,"DORAL*AM*")+countif(#REF!,"TC*AM*")+countif(#REF!,"CB*AM*")))</f>
        <v>#DIV/0!</v>
      </c>
      <c r="L57" s="171" t="str">
        <f t="shared" si="50"/>
        <v>#DIV/0!</v>
      </c>
      <c r="M57" s="171" t="str">
        <f t="shared" si="50"/>
        <v>#DIV/0!</v>
      </c>
      <c r="N57" s="171" t="str">
        <f t="shared" si="50"/>
        <v>#DIV/0!</v>
      </c>
      <c r="O57" s="171" t="str">
        <f t="shared" si="50"/>
        <v>#DIV/0!</v>
      </c>
      <c r="P57" s="171" t="str">
        <f t="shared" si="50"/>
        <v>#DIV/0!</v>
      </c>
      <c r="Q57" s="171" t="str">
        <f t="shared" si="50"/>
        <v>#DIV/0!</v>
      </c>
      <c r="R57" s="171" t="str">
        <f t="shared" si="50"/>
        <v>#DIV/0!</v>
      </c>
      <c r="S57" s="171" t="str">
        <f t="shared" si="50"/>
        <v>#DIV/0!</v>
      </c>
      <c r="T57" s="159"/>
      <c r="U57" s="159"/>
      <c r="V57" s="159"/>
      <c r="W57" s="159"/>
      <c r="X57" s="159"/>
      <c r="Y57" s="159"/>
      <c r="Z57" s="154"/>
      <c r="AA57" s="159"/>
      <c r="AB57" s="159"/>
      <c r="AC57" s="159"/>
      <c r="AD57" s="159"/>
      <c r="AE57" s="159"/>
      <c r="AF57" s="159"/>
      <c r="AG57" s="159"/>
      <c r="AH57" s="121"/>
      <c r="AI57" s="121"/>
      <c r="AJ57" s="164"/>
      <c r="AK57" s="164"/>
      <c r="AL57" s="164"/>
      <c r="AM57" s="164"/>
      <c r="AN57" s="164"/>
      <c r="AO57" s="149"/>
      <c r="AP57" s="149"/>
      <c r="AQ57" s="149"/>
      <c r="AR57" s="121"/>
      <c r="AS57" s="121"/>
      <c r="AT57" s="121"/>
      <c r="AU57" s="121"/>
      <c r="AV57" s="121"/>
      <c r="AW57" s="121"/>
      <c r="AX57" s="121"/>
      <c r="AY57" s="121"/>
      <c r="AZ57" s="121"/>
    </row>
    <row r="58" hidden="1">
      <c r="A58" s="165"/>
      <c r="B58" s="166" t="s">
        <v>84</v>
      </c>
      <c r="C58" s="150"/>
      <c r="D58" s="171" t="str">
        <f t="shared" ref="D58:I58" si="51">D54/((countif(#REF!,"DORAL*PM*")+countif(#REF!,"TC*PM*")+countif(#REF!,"CB*PM*")))</f>
        <v>#DIV/0!</v>
      </c>
      <c r="E58" s="171" t="str">
        <f t="shared" si="51"/>
        <v>#DIV/0!</v>
      </c>
      <c r="F58" s="171" t="str">
        <f t="shared" si="51"/>
        <v>#DIV/0!</v>
      </c>
      <c r="G58" s="171" t="str">
        <f t="shared" si="51"/>
        <v>#DIV/0!</v>
      </c>
      <c r="H58" s="171" t="str">
        <f t="shared" si="51"/>
        <v>#DIV/0!</v>
      </c>
      <c r="I58" s="171" t="str">
        <f t="shared" si="51"/>
        <v>#DIV/0!</v>
      </c>
      <c r="J58" s="171"/>
      <c r="K58" s="171" t="str">
        <f t="shared" ref="K58:S58" si="52">K54/((countif(#REF!,"DORAL*PM*")+countif(#REF!,"TC*PM*")+countif(#REF!,"CB*PM*")))</f>
        <v>#DIV/0!</v>
      </c>
      <c r="L58" s="171" t="str">
        <f t="shared" si="52"/>
        <v>#DIV/0!</v>
      </c>
      <c r="M58" s="171" t="str">
        <f t="shared" si="52"/>
        <v>#DIV/0!</v>
      </c>
      <c r="N58" s="171" t="str">
        <f t="shared" si="52"/>
        <v>#DIV/0!</v>
      </c>
      <c r="O58" s="171" t="str">
        <f t="shared" si="52"/>
        <v>#DIV/0!</v>
      </c>
      <c r="P58" s="171" t="str">
        <f t="shared" si="52"/>
        <v>#DIV/0!</v>
      </c>
      <c r="Q58" s="171" t="str">
        <f t="shared" si="52"/>
        <v>#DIV/0!</v>
      </c>
      <c r="R58" s="171" t="str">
        <f t="shared" si="52"/>
        <v>#DIV/0!</v>
      </c>
      <c r="S58" s="171" t="str">
        <f t="shared" si="52"/>
        <v>#DIV/0!</v>
      </c>
      <c r="T58" s="159"/>
      <c r="U58" s="159"/>
      <c r="V58" s="159"/>
      <c r="W58" s="159"/>
      <c r="X58" s="159"/>
      <c r="Y58" s="159"/>
      <c r="Z58" s="154"/>
      <c r="AA58" s="159"/>
      <c r="AB58" s="159"/>
      <c r="AC58" s="159"/>
      <c r="AD58" s="159"/>
      <c r="AE58" s="159"/>
      <c r="AF58" s="172"/>
      <c r="AG58" s="172"/>
      <c r="AH58" s="121"/>
      <c r="AI58" s="121"/>
      <c r="AJ58" s="169"/>
      <c r="AK58" s="169"/>
      <c r="AL58" s="169"/>
      <c r="AM58" s="169"/>
      <c r="AN58" s="169"/>
      <c r="AO58" s="149"/>
      <c r="AP58" s="149"/>
      <c r="AQ58" s="149"/>
      <c r="AR58" s="121"/>
      <c r="AS58" s="121"/>
      <c r="AT58" s="121"/>
      <c r="AU58" s="121"/>
      <c r="AV58" s="121"/>
      <c r="AW58" s="121"/>
      <c r="AX58" s="121"/>
      <c r="AY58" s="121"/>
      <c r="AZ58" s="121"/>
    </row>
    <row r="59" hidden="1">
      <c r="A59" s="165"/>
      <c r="B59" s="166" t="s">
        <v>85</v>
      </c>
      <c r="C59" s="150"/>
      <c r="D59" s="173">
        <f t="shared" ref="D59:I59" si="53">countif(D7:D35,"*SWING*")</f>
        <v>0</v>
      </c>
      <c r="E59" s="173">
        <f t="shared" si="53"/>
        <v>0</v>
      </c>
      <c r="F59" s="173">
        <f t="shared" si="53"/>
        <v>0</v>
      </c>
      <c r="G59" s="173">
        <f t="shared" si="53"/>
        <v>0</v>
      </c>
      <c r="H59" s="174">
        <f t="shared" si="53"/>
        <v>0</v>
      </c>
      <c r="I59" s="173">
        <f t="shared" si="53"/>
        <v>0</v>
      </c>
      <c r="J59" s="173"/>
      <c r="K59" s="173">
        <f t="shared" ref="K59:P59" si="54">countif(K7:K35,"*SWING*")</f>
        <v>0</v>
      </c>
      <c r="L59" s="173">
        <f t="shared" si="54"/>
        <v>0</v>
      </c>
      <c r="M59" s="173">
        <f t="shared" si="54"/>
        <v>0</v>
      </c>
      <c r="N59" s="173">
        <f t="shared" si="54"/>
        <v>0</v>
      </c>
      <c r="O59" s="173">
        <f t="shared" si="54"/>
        <v>0</v>
      </c>
      <c r="P59" s="173">
        <f t="shared" si="54"/>
        <v>0</v>
      </c>
      <c r="Q59" s="173">
        <f>countif(AE7:AE35,"*SWING*")</f>
        <v>0</v>
      </c>
      <c r="R59" s="173">
        <f t="shared" ref="R59:S59" si="55">countif(#REF!,"*SWING*")</f>
        <v>0</v>
      </c>
      <c r="S59" s="173">
        <f t="shared" si="55"/>
        <v>0</v>
      </c>
      <c r="T59" s="159"/>
      <c r="U59" s="159"/>
      <c r="V59" s="159"/>
      <c r="W59" s="159"/>
      <c r="X59" s="159"/>
      <c r="Y59" s="159"/>
      <c r="Z59" s="154"/>
      <c r="AA59" s="159"/>
      <c r="AB59" s="159"/>
      <c r="AC59" s="159"/>
      <c r="AD59" s="159"/>
      <c r="AE59" s="159"/>
      <c r="AF59" s="175"/>
      <c r="AG59" s="175"/>
      <c r="AH59" s="121"/>
      <c r="AI59" s="121"/>
      <c r="AJ59" s="149"/>
      <c r="AK59" s="149"/>
      <c r="AL59" s="149"/>
      <c r="AM59" s="149"/>
      <c r="AN59" s="149"/>
      <c r="AO59" s="176"/>
      <c r="AP59" s="176"/>
      <c r="AQ59" s="176"/>
      <c r="AR59" s="121"/>
      <c r="AS59" s="121"/>
      <c r="AT59" s="121"/>
      <c r="AU59" s="121"/>
      <c r="AV59" s="121"/>
      <c r="AW59" s="121"/>
      <c r="AX59" s="121"/>
      <c r="AY59" s="121"/>
      <c r="AZ59" s="121"/>
    </row>
    <row r="60" hidden="1">
      <c r="A60" s="165"/>
      <c r="B60" s="151" t="s">
        <v>86</v>
      </c>
      <c r="C60" s="150"/>
      <c r="D60" s="157">
        <f t="shared" ref="D60:I60" si="56">(3*countif(D7:D13,"6AM"))+(2*countif(D15:D23,"6AM"))+(1*(countif(D24:D31,"6AM")))</f>
        <v>0</v>
      </c>
      <c r="E60" s="157">
        <f t="shared" si="56"/>
        <v>0</v>
      </c>
      <c r="F60" s="157">
        <f t="shared" si="56"/>
        <v>0</v>
      </c>
      <c r="G60" s="157">
        <f t="shared" si="56"/>
        <v>0</v>
      </c>
      <c r="H60" s="158">
        <f t="shared" si="56"/>
        <v>0</v>
      </c>
      <c r="I60" s="157">
        <f t="shared" si="56"/>
        <v>0</v>
      </c>
      <c r="J60" s="157"/>
      <c r="K60" s="157">
        <f t="shared" ref="K60:P60" si="57">(3*countif(K7:K13,"6AM"))+(2*countif(K15:K23,"6AM"))+(1*(countif(K24:K31,"6AM")))</f>
        <v>0</v>
      </c>
      <c r="L60" s="157">
        <f t="shared" si="57"/>
        <v>0</v>
      </c>
      <c r="M60" s="157">
        <f t="shared" si="57"/>
        <v>0</v>
      </c>
      <c r="N60" s="157">
        <f t="shared" si="57"/>
        <v>0</v>
      </c>
      <c r="O60" s="157">
        <f t="shared" si="57"/>
        <v>0</v>
      </c>
      <c r="P60" s="157">
        <f t="shared" si="57"/>
        <v>0</v>
      </c>
      <c r="Q60" s="157">
        <f>(3*countif(AE7:AE13,"6AM"))+(2*countif(AE15:AE23,"6AM"))+(1*(countif(AE24:AE31,"6AM")))</f>
        <v>0</v>
      </c>
      <c r="R60" s="157">
        <f t="shared" ref="R60:S60" si="58">(3*countif(#REF!,"6AM"))+(2*countif(#REF!,"6AM"))+(0*(countif(#REF!,"6AM")))</f>
        <v>0</v>
      </c>
      <c r="S60" s="157">
        <f t="shared" si="58"/>
        <v>0</v>
      </c>
      <c r="T60" s="159"/>
      <c r="U60" s="159"/>
      <c r="V60" s="159"/>
      <c r="W60" s="159"/>
      <c r="X60" s="159"/>
      <c r="Y60" s="159"/>
      <c r="Z60" s="154"/>
      <c r="AA60" s="159"/>
      <c r="AB60" s="159"/>
      <c r="AC60" s="159"/>
      <c r="AD60" s="159"/>
      <c r="AE60" s="159"/>
      <c r="AH60" s="121"/>
      <c r="AI60" s="121"/>
      <c r="AJ60" s="149"/>
      <c r="AK60" s="149"/>
      <c r="AL60" s="149"/>
      <c r="AM60" s="149"/>
      <c r="AN60" s="149"/>
      <c r="AO60" s="177"/>
      <c r="AP60" s="177"/>
      <c r="AQ60" s="177"/>
      <c r="AR60" s="121"/>
      <c r="AS60" s="121"/>
      <c r="AT60" s="121"/>
      <c r="AU60" s="121"/>
      <c r="AV60" s="121"/>
      <c r="AW60" s="121"/>
      <c r="AX60" s="121"/>
      <c r="AY60" s="121"/>
      <c r="AZ60" s="121"/>
    </row>
    <row r="61" hidden="1">
      <c r="A61" s="165"/>
      <c r="B61" s="151" t="s">
        <v>87</v>
      </c>
      <c r="C61" s="150"/>
      <c r="D61" s="157">
        <f t="shared" ref="D61:I61" si="59">(3*countif(D7:D13,"2PM"))+(2*countif(D15:D23,"2PM"))+((1*countif(D24:D31,"2PM"))+(3*countif(D7:D13,"1PM"))+(2*countif(D15:D23,"1PM"))+(1*countif(D24:D31,"1PM")))</f>
        <v>0</v>
      </c>
      <c r="E61" s="157">
        <f t="shared" si="59"/>
        <v>0</v>
      </c>
      <c r="F61" s="157">
        <f t="shared" si="59"/>
        <v>0</v>
      </c>
      <c r="G61" s="157">
        <f t="shared" si="59"/>
        <v>0</v>
      </c>
      <c r="H61" s="158">
        <f t="shared" si="59"/>
        <v>0</v>
      </c>
      <c r="I61" s="157">
        <f t="shared" si="59"/>
        <v>0</v>
      </c>
      <c r="J61" s="157"/>
      <c r="K61" s="157">
        <f t="shared" ref="K61:P61" si="60">(3*countif(K7:K13,"2PM"))+(2*countif(K15:K23,"2PM"))+((1*countif(K24:K31,"2PM"))+(3*countif(K7:K13,"1PM"))+(2*countif(K15:K23,"1PM"))+(1*countif(K24:K31,"1PM")))</f>
        <v>0</v>
      </c>
      <c r="L61" s="157">
        <f t="shared" si="60"/>
        <v>0</v>
      </c>
      <c r="M61" s="157">
        <f t="shared" si="60"/>
        <v>0</v>
      </c>
      <c r="N61" s="157">
        <f t="shared" si="60"/>
        <v>0</v>
      </c>
      <c r="O61" s="157">
        <f t="shared" si="60"/>
        <v>0</v>
      </c>
      <c r="P61" s="157">
        <f t="shared" si="60"/>
        <v>0</v>
      </c>
      <c r="Q61" s="157">
        <f>(3*countif(AE7:AE13,"2PM"))+(2*countif(AE15:AE23,"2PM"))+((1*countif(AE24:AE31,"2PM"))+(3*countif(AE7:AE13,"1PM"))+(2*countif(AE15:AE23,"1PM"))+(1*countif(AE24:AE31,"1PM")))</f>
        <v>0</v>
      </c>
      <c r="R61" s="157">
        <f t="shared" ref="R61:S61" si="61">(3*countif(#REF!,"2PM"))+(2*countif(#REF!,"2PM"))+((0*countif(#REF!,"2PM"))+(3*countif(#REF!,"1PM"))+(2*countif(#REF!,"1PM"))+(0*countif(#REF!,"1PM")))</f>
        <v>0</v>
      </c>
      <c r="S61" s="157">
        <f t="shared" si="61"/>
        <v>0</v>
      </c>
      <c r="T61" s="159"/>
      <c r="U61" s="159"/>
      <c r="V61" s="159"/>
      <c r="W61" s="159"/>
      <c r="X61" s="159"/>
      <c r="Y61" s="159"/>
      <c r="Z61" s="154"/>
      <c r="AA61" s="159"/>
      <c r="AB61" s="159"/>
      <c r="AC61" s="159"/>
      <c r="AD61" s="159"/>
      <c r="AE61" s="159"/>
      <c r="AH61" s="121"/>
      <c r="AI61" s="121"/>
      <c r="AJ61" s="149"/>
      <c r="AK61" s="149"/>
      <c r="AL61" s="149"/>
      <c r="AM61" s="149"/>
      <c r="AN61" s="149"/>
      <c r="AO61" s="176"/>
      <c r="AP61" s="176"/>
      <c r="AQ61" s="176"/>
      <c r="AR61" s="121"/>
      <c r="AS61" s="121"/>
      <c r="AT61" s="121"/>
      <c r="AU61" s="121"/>
      <c r="AV61" s="121"/>
      <c r="AW61" s="121"/>
      <c r="AX61" s="121"/>
      <c r="AY61" s="121"/>
      <c r="AZ61" s="121"/>
    </row>
    <row r="62" hidden="1">
      <c r="A62" s="165"/>
      <c r="B62" s="151" t="s">
        <v>88</v>
      </c>
      <c r="C62" s="150"/>
      <c r="D62" s="157">
        <f t="shared" ref="D62:I62" si="62">(3*countif(D7:D13,"10PM"))+(2*countif(D15:D23,"10PM"))+(1*countif(D24:D31,"10PM"))+(3*countif(D7:D13,"8PM"))+(2*countif(D15:D23,"8PM"))+(1*countif(D24:D31,"8PM"))</f>
        <v>0</v>
      </c>
      <c r="E62" s="157">
        <f t="shared" si="62"/>
        <v>0</v>
      </c>
      <c r="F62" s="157">
        <f t="shared" si="62"/>
        <v>0</v>
      </c>
      <c r="G62" s="157">
        <f t="shared" si="62"/>
        <v>0</v>
      </c>
      <c r="H62" s="158">
        <f t="shared" si="62"/>
        <v>0</v>
      </c>
      <c r="I62" s="157">
        <f t="shared" si="62"/>
        <v>0</v>
      </c>
      <c r="J62" s="157"/>
      <c r="K62" s="157">
        <f t="shared" ref="K62:P62" si="63">(3*countif(K7:K13,"10PM"))+(2*countif(K15:K23,"10PM"))+(1*countif(K24:K31,"10PM"))+(3*countif(K7:K13,"8PM"))+(2*countif(K15:K23,"8PM"))+(1*countif(K24:K31,"8PM"))</f>
        <v>0</v>
      </c>
      <c r="L62" s="157">
        <f t="shared" si="63"/>
        <v>0</v>
      </c>
      <c r="M62" s="157">
        <f t="shared" si="63"/>
        <v>0</v>
      </c>
      <c r="N62" s="157">
        <f t="shared" si="63"/>
        <v>0</v>
      </c>
      <c r="O62" s="157">
        <f t="shared" si="63"/>
        <v>0</v>
      </c>
      <c r="P62" s="157">
        <f t="shared" si="63"/>
        <v>0</v>
      </c>
      <c r="Q62" s="157">
        <f>(3*countif(AE7:AE13,"10PM"))+(2*countif(AE15:AE23,"10PM"))+(1*countif(AE24:AE31,"10PM"))+(3*countif(AE7:AE13,"8PM"))+(2*countif(AE15:AE23,"8PM"))+(1*countif(AE24:AE31,"8PM"))</f>
        <v>0</v>
      </c>
      <c r="R62" s="157">
        <f t="shared" ref="R62:S62" si="64">(3*countif(#REF!,"10PM"))+(2*countif(#REF!,"10PM"))+(0*countif(#REF!,"10PM"))+(3*countif(#REF!,"8PM"))+(2*countif(#REF!,"8PM"))+(0*countif(#REF!,"8PM"))</f>
        <v>0</v>
      </c>
      <c r="S62" s="157">
        <f t="shared" si="64"/>
        <v>0</v>
      </c>
      <c r="T62" s="159"/>
      <c r="U62" s="159"/>
      <c r="V62" s="159"/>
      <c r="W62" s="159"/>
      <c r="X62" s="159"/>
      <c r="Y62" s="159"/>
      <c r="Z62" s="154"/>
      <c r="AA62" s="159"/>
      <c r="AB62" s="159"/>
      <c r="AC62" s="159"/>
      <c r="AD62" s="159"/>
      <c r="AE62" s="159"/>
      <c r="AH62" s="121"/>
      <c r="AI62" s="121"/>
      <c r="AJ62" s="121"/>
      <c r="AK62" s="121"/>
      <c r="AL62" s="121"/>
      <c r="AM62" s="121"/>
      <c r="AN62" s="121"/>
      <c r="AO62" s="121"/>
      <c r="AP62" s="121"/>
      <c r="AQ62" s="121"/>
      <c r="AR62" s="121"/>
      <c r="AS62" s="121"/>
      <c r="AT62" s="121"/>
      <c r="AU62" s="121"/>
      <c r="AV62" s="121"/>
      <c r="AW62" s="121"/>
      <c r="AX62" s="121"/>
      <c r="AY62" s="121"/>
      <c r="AZ62" s="121"/>
    </row>
    <row r="63">
      <c r="A63" s="178"/>
      <c r="B63" s="179"/>
      <c r="C63" s="5"/>
      <c r="D63" s="178"/>
      <c r="E63" s="180"/>
      <c r="F63" s="180"/>
      <c r="G63" s="181"/>
      <c r="H63" s="178"/>
      <c r="I63" s="180"/>
      <c r="J63" s="178"/>
      <c r="K63" s="172"/>
      <c r="L63" s="178"/>
      <c r="M63" s="178"/>
      <c r="N63" s="178"/>
      <c r="O63" s="178"/>
      <c r="P63" s="178"/>
      <c r="Q63" s="178"/>
      <c r="R63" s="5"/>
      <c r="S63" s="172"/>
      <c r="T63" s="172"/>
      <c r="U63" s="172"/>
      <c r="V63" s="172"/>
      <c r="W63" s="172"/>
      <c r="X63" s="172"/>
      <c r="Z63" s="172"/>
      <c r="AA63" s="172"/>
      <c r="AB63" s="172"/>
      <c r="AC63" s="172"/>
      <c r="AD63" s="172"/>
      <c r="AG63" s="121"/>
      <c r="AH63" s="121"/>
      <c r="AI63" s="121"/>
      <c r="AJ63" s="121"/>
      <c r="AK63" s="121"/>
      <c r="AL63" s="121"/>
      <c r="AM63" s="121"/>
      <c r="AN63" s="121"/>
      <c r="AO63" s="121"/>
      <c r="AP63" s="121"/>
      <c r="AQ63" s="121"/>
      <c r="AR63" s="121"/>
      <c r="AS63" s="121"/>
      <c r="AT63" s="121"/>
      <c r="AU63" s="121"/>
      <c r="AV63" s="121"/>
      <c r="AW63" s="121"/>
      <c r="AX63" s="121"/>
      <c r="AY63" s="121"/>
    </row>
    <row r="64">
      <c r="A64" s="178"/>
      <c r="B64" s="179"/>
      <c r="C64" s="182" t="s">
        <v>89</v>
      </c>
      <c r="D64" s="183" t="s">
        <v>29</v>
      </c>
      <c r="E64" s="184" t="s">
        <v>42</v>
      </c>
      <c r="F64" s="185" t="s">
        <v>90</v>
      </c>
      <c r="G64" s="186" t="s">
        <v>91</v>
      </c>
      <c r="I64" s="187"/>
      <c r="J64" s="187"/>
      <c r="K64" s="172"/>
      <c r="L64" s="178"/>
      <c r="M64" s="178"/>
      <c r="N64" s="178"/>
      <c r="O64" s="178"/>
      <c r="P64" s="188"/>
      <c r="Q64" s="188"/>
      <c r="R64" s="178"/>
      <c r="S64" s="172"/>
      <c r="T64" s="172"/>
      <c r="U64" s="172"/>
      <c r="V64" s="175"/>
      <c r="W64" s="175"/>
      <c r="X64" s="175"/>
      <c r="Z64" s="175"/>
      <c r="AA64" s="175"/>
      <c r="AB64" s="175"/>
      <c r="AC64" s="175"/>
      <c r="AD64" s="175"/>
      <c r="AG64" s="121"/>
      <c r="AH64" s="121"/>
      <c r="AI64" s="121"/>
      <c r="AJ64" s="121"/>
      <c r="AK64" s="121"/>
      <c r="AL64" s="121"/>
      <c r="AM64" s="121"/>
      <c r="AN64" s="121"/>
      <c r="AO64" s="121"/>
      <c r="AP64" s="121"/>
      <c r="AQ64" s="121"/>
      <c r="AR64" s="121"/>
      <c r="AS64" s="121"/>
      <c r="AT64" s="121"/>
      <c r="AU64" s="121"/>
      <c r="AV64" s="121"/>
      <c r="AW64" s="121"/>
      <c r="AX64" s="121"/>
      <c r="AY64" s="121"/>
    </row>
    <row r="65">
      <c r="A65" s="178"/>
      <c r="B65" s="179"/>
      <c r="C65" s="178"/>
      <c r="D65" s="187"/>
      <c r="E65" s="178"/>
      <c r="F65" s="181"/>
      <c r="G65" s="178"/>
      <c r="H65" s="187"/>
      <c r="J65" s="189"/>
      <c r="K65" s="178"/>
      <c r="L65" s="178"/>
      <c r="M65" s="178"/>
      <c r="N65" s="178"/>
      <c r="O65" s="178"/>
      <c r="P65" s="178"/>
      <c r="Q65" s="178"/>
      <c r="R65" s="172"/>
      <c r="S65" s="172"/>
      <c r="T65" s="172"/>
      <c r="U65" s="175"/>
      <c r="V65" s="175"/>
      <c r="W65" s="175"/>
      <c r="Y65" s="175"/>
      <c r="Z65" s="175"/>
      <c r="AA65" s="175"/>
      <c r="AB65" s="175"/>
      <c r="AC65" s="175"/>
      <c r="AD65" s="175"/>
      <c r="AE65" s="175"/>
      <c r="AH65" s="121"/>
      <c r="AI65" s="121"/>
    </row>
    <row r="66">
      <c r="A66" s="178"/>
      <c r="B66" s="179"/>
      <c r="C66" s="187" t="s">
        <v>92</v>
      </c>
      <c r="D66" s="187" t="s">
        <v>93</v>
      </c>
      <c r="E66" s="187" t="s">
        <v>94</v>
      </c>
      <c r="F66" s="187" t="s">
        <v>95</v>
      </c>
      <c r="G66" s="190" t="s">
        <v>62</v>
      </c>
      <c r="H66" s="187" t="s">
        <v>49</v>
      </c>
      <c r="J66" s="189"/>
      <c r="K66" s="178"/>
      <c r="L66" s="178"/>
      <c r="M66" s="178"/>
      <c r="N66" s="178"/>
      <c r="O66" s="178"/>
      <c r="P66" s="178"/>
      <c r="Q66" s="178"/>
      <c r="R66" s="172"/>
      <c r="S66" s="172"/>
      <c r="T66" s="172"/>
      <c r="U66" s="175"/>
      <c r="V66" s="175"/>
      <c r="W66" s="175"/>
      <c r="Y66" s="175"/>
      <c r="Z66" s="175"/>
      <c r="AA66" s="175"/>
      <c r="AB66" s="175"/>
      <c r="AC66" s="175"/>
      <c r="AD66" s="175"/>
      <c r="AE66" s="175"/>
      <c r="AH66" s="121"/>
      <c r="AI66" s="121"/>
      <c r="AN66" s="180"/>
      <c r="AO66" s="178"/>
      <c r="AP66" s="178"/>
      <c r="AQ66" s="178"/>
    </row>
    <row r="67">
      <c r="A67" s="178"/>
      <c r="B67" s="179"/>
      <c r="C67" s="191"/>
      <c r="D67" s="192"/>
      <c r="E67" s="193"/>
      <c r="F67" s="194"/>
      <c r="G67" s="195"/>
      <c r="H67" s="196"/>
      <c r="J67" s="172"/>
      <c r="K67" s="178"/>
      <c r="L67" s="178"/>
      <c r="M67" s="178"/>
      <c r="N67" s="178"/>
      <c r="O67" s="178"/>
      <c r="P67" s="178"/>
      <c r="Q67" s="178"/>
      <c r="R67" s="172"/>
      <c r="S67" s="172"/>
      <c r="T67" s="172"/>
      <c r="U67" s="175"/>
      <c r="V67" s="175"/>
      <c r="W67" s="175"/>
      <c r="Y67" s="175"/>
      <c r="Z67" s="175"/>
      <c r="AA67" s="175"/>
      <c r="AB67" s="175"/>
      <c r="AC67" s="175"/>
      <c r="AD67" s="175"/>
      <c r="AE67" s="175"/>
      <c r="AH67" s="121"/>
      <c r="AI67" s="121"/>
      <c r="AN67" s="187"/>
      <c r="AO67" s="178"/>
      <c r="AP67" s="178"/>
      <c r="AQ67" s="178"/>
    </row>
    <row r="68">
      <c r="A68" s="178"/>
      <c r="B68" s="179"/>
      <c r="C68" s="187"/>
      <c r="D68" s="178"/>
      <c r="E68" s="178"/>
      <c r="F68" s="181"/>
      <c r="G68" s="178"/>
      <c r="H68" s="178"/>
      <c r="I68" s="178"/>
      <c r="J68" s="172"/>
      <c r="K68" s="178"/>
      <c r="L68" s="178"/>
      <c r="M68" s="178"/>
      <c r="N68" s="178"/>
      <c r="O68" s="178"/>
      <c r="P68" s="178"/>
      <c r="Q68" s="178"/>
      <c r="R68" s="172"/>
      <c r="S68" s="172"/>
      <c r="T68" s="172"/>
      <c r="U68" s="175"/>
      <c r="V68" s="175"/>
      <c r="W68" s="175"/>
      <c r="Y68" s="175"/>
      <c r="Z68" s="175"/>
      <c r="AA68" s="175"/>
      <c r="AB68" s="175"/>
      <c r="AC68" s="175"/>
      <c r="AD68" s="175"/>
      <c r="AE68" s="175"/>
      <c r="AH68" s="121"/>
      <c r="AI68" s="121"/>
      <c r="AN68" s="189"/>
      <c r="AO68" s="178"/>
      <c r="AP68" s="178"/>
      <c r="AQ68" s="178"/>
    </row>
    <row r="69">
      <c r="A69" s="178"/>
      <c r="B69" s="179"/>
      <c r="C69" s="197"/>
      <c r="D69" s="187" t="s">
        <v>96</v>
      </c>
      <c r="E69" s="178"/>
      <c r="F69" s="181"/>
      <c r="G69" s="178"/>
      <c r="H69" s="178"/>
      <c r="I69" s="178"/>
      <c r="J69" s="172"/>
      <c r="K69" s="178"/>
      <c r="L69" s="178"/>
      <c r="M69" s="178"/>
      <c r="N69" s="178"/>
      <c r="O69" s="178"/>
      <c r="P69" s="178"/>
      <c r="Q69" s="178"/>
      <c r="R69" s="172"/>
      <c r="S69" s="172"/>
      <c r="T69" s="172"/>
      <c r="U69" s="175"/>
      <c r="V69" s="175"/>
      <c r="W69" s="175"/>
      <c r="Y69" s="175"/>
      <c r="Z69" s="175"/>
      <c r="AA69" s="175"/>
      <c r="AB69" s="175"/>
      <c r="AC69" s="175"/>
      <c r="AD69" s="175"/>
      <c r="AE69" s="175"/>
      <c r="AH69" s="121"/>
      <c r="AI69" s="121"/>
      <c r="AN69" s="189"/>
      <c r="AO69" s="178"/>
      <c r="AP69" s="178"/>
      <c r="AQ69" s="178"/>
    </row>
    <row r="70">
      <c r="A70" s="178"/>
      <c r="B70" s="179"/>
      <c r="C70" s="178"/>
      <c r="D70" s="178"/>
      <c r="E70" s="178"/>
      <c r="F70" s="181"/>
      <c r="G70" s="178"/>
      <c r="H70" s="178"/>
      <c r="I70" s="178"/>
      <c r="J70" s="172"/>
      <c r="K70" s="178"/>
      <c r="L70" s="178"/>
      <c r="M70" s="178"/>
      <c r="N70" s="178"/>
      <c r="O70" s="178"/>
      <c r="P70" s="178"/>
      <c r="Q70" s="178"/>
      <c r="R70" s="172"/>
      <c r="S70" s="172"/>
      <c r="T70" s="172"/>
      <c r="U70" s="175"/>
      <c r="V70" s="175"/>
      <c r="W70" s="175"/>
      <c r="Y70" s="175"/>
      <c r="Z70" s="175"/>
      <c r="AA70" s="175"/>
      <c r="AB70" s="175"/>
      <c r="AC70" s="175"/>
      <c r="AD70" s="175"/>
      <c r="AE70" s="175"/>
      <c r="AH70" s="121"/>
      <c r="AI70" s="121"/>
      <c r="AJ70" s="172"/>
      <c r="AK70" s="172"/>
      <c r="AL70" s="172"/>
      <c r="AM70" s="172"/>
      <c r="AN70" s="172"/>
      <c r="AO70" s="178"/>
      <c r="AP70" s="178"/>
      <c r="AQ70" s="178"/>
    </row>
    <row r="71">
      <c r="A71" s="178"/>
      <c r="B71" s="179"/>
      <c r="C71" s="198" t="s">
        <v>97</v>
      </c>
      <c r="D71" s="198" t="s">
        <v>98</v>
      </c>
      <c r="E71" s="198" t="s">
        <v>99</v>
      </c>
      <c r="F71" s="199" t="s">
        <v>100</v>
      </c>
      <c r="G71" s="178"/>
      <c r="H71" s="178"/>
      <c r="I71" s="178"/>
      <c r="J71" s="172"/>
      <c r="K71" s="178"/>
      <c r="L71" s="178"/>
      <c r="M71" s="178"/>
      <c r="N71" s="178"/>
      <c r="O71" s="178"/>
      <c r="P71" s="178"/>
      <c r="Q71" s="178"/>
      <c r="R71" s="172"/>
      <c r="S71" s="172"/>
      <c r="T71" s="172"/>
      <c r="U71" s="175"/>
      <c r="V71" s="175"/>
      <c r="W71" s="175"/>
      <c r="Y71" s="175"/>
      <c r="Z71" s="175"/>
      <c r="AA71" s="175"/>
      <c r="AB71" s="175"/>
      <c r="AC71" s="175"/>
      <c r="AD71" s="175"/>
      <c r="AE71" s="175"/>
      <c r="AH71" s="121"/>
      <c r="AI71" s="121"/>
      <c r="AJ71" s="172"/>
      <c r="AK71" s="172"/>
      <c r="AL71" s="172"/>
      <c r="AM71" s="172"/>
      <c r="AN71" s="172"/>
      <c r="AO71" s="178"/>
      <c r="AP71" s="178"/>
      <c r="AQ71" s="178"/>
    </row>
    <row r="72">
      <c r="A72" s="178"/>
      <c r="B72" s="179"/>
      <c r="C72" s="200" t="s">
        <v>26</v>
      </c>
      <c r="D72" s="201" t="s">
        <v>101</v>
      </c>
      <c r="E72" s="202">
        <v>0.25</v>
      </c>
      <c r="F72" s="202">
        <v>0.75</v>
      </c>
      <c r="J72" s="172"/>
      <c r="K72" s="178"/>
      <c r="L72" s="178"/>
      <c r="M72" s="178"/>
      <c r="N72" s="178"/>
      <c r="O72" s="178"/>
      <c r="P72" s="178"/>
      <c r="Q72" s="178"/>
      <c r="R72" s="172"/>
      <c r="S72" s="172"/>
      <c r="T72" s="172"/>
      <c r="U72" s="175"/>
      <c r="V72" s="175"/>
      <c r="W72" s="175"/>
      <c r="Y72" s="175"/>
      <c r="Z72" s="175"/>
      <c r="AA72" s="175"/>
      <c r="AB72" s="175"/>
      <c r="AC72" s="175"/>
      <c r="AD72" s="175"/>
      <c r="AE72" s="175"/>
      <c r="AH72" s="121"/>
      <c r="AI72" s="121"/>
      <c r="AJ72" s="172"/>
      <c r="AK72" s="172"/>
      <c r="AL72" s="172"/>
      <c r="AM72" s="172"/>
      <c r="AN72" s="172"/>
      <c r="AO72" s="178"/>
      <c r="AP72" s="178"/>
      <c r="AQ72" s="178"/>
    </row>
    <row r="73">
      <c r="A73" s="178"/>
      <c r="B73" s="179"/>
      <c r="C73" s="203" t="s">
        <v>26</v>
      </c>
      <c r="D73" s="201" t="s">
        <v>102</v>
      </c>
      <c r="E73" s="202">
        <v>0.2916666666666667</v>
      </c>
      <c r="F73" s="202">
        <v>0.7916666666666666</v>
      </c>
      <c r="J73" s="172"/>
      <c r="K73" s="178"/>
      <c r="L73" s="178"/>
      <c r="M73" s="178"/>
      <c r="N73" s="178"/>
      <c r="O73" s="178"/>
      <c r="P73" s="178"/>
      <c r="Q73" s="178"/>
      <c r="R73" s="172"/>
      <c r="S73" s="172"/>
      <c r="T73" s="172"/>
      <c r="U73" s="175"/>
      <c r="V73" s="175"/>
      <c r="W73" s="175"/>
      <c r="Y73" s="175"/>
      <c r="Z73" s="175"/>
      <c r="AA73" s="175"/>
      <c r="AB73" s="175"/>
      <c r="AC73" s="175"/>
      <c r="AD73" s="175"/>
      <c r="AE73" s="175"/>
      <c r="AH73" s="121"/>
      <c r="AI73" s="121"/>
      <c r="AJ73" s="172"/>
      <c r="AK73" s="172"/>
      <c r="AL73" s="172"/>
      <c r="AM73" s="172"/>
      <c r="AN73" s="172"/>
      <c r="AO73" s="178"/>
      <c r="AP73" s="178"/>
      <c r="AQ73" s="178"/>
    </row>
    <row r="74">
      <c r="A74" s="178"/>
      <c r="B74" s="179"/>
      <c r="C74" s="203" t="s">
        <v>26</v>
      </c>
      <c r="D74" s="201" t="s">
        <v>103</v>
      </c>
      <c r="E74" s="202">
        <v>0.4166666666666667</v>
      </c>
      <c r="F74" s="202">
        <v>0.9166666666666666</v>
      </c>
      <c r="J74" s="172"/>
      <c r="K74" s="178"/>
      <c r="L74" s="178"/>
      <c r="M74" s="178"/>
      <c r="N74" s="178"/>
      <c r="O74" s="178"/>
      <c r="P74" s="178"/>
      <c r="Q74" s="178"/>
      <c r="R74" s="172"/>
      <c r="S74" s="172"/>
      <c r="T74" s="172"/>
      <c r="U74" s="175"/>
      <c r="V74" s="175"/>
      <c r="W74" s="175"/>
      <c r="Y74" s="175"/>
      <c r="Z74" s="175"/>
      <c r="AA74" s="175"/>
      <c r="AB74" s="175"/>
      <c r="AC74" s="175"/>
      <c r="AD74" s="175"/>
      <c r="AE74" s="175"/>
      <c r="AH74" s="121"/>
      <c r="AI74" s="121"/>
      <c r="AJ74" s="172"/>
      <c r="AK74" s="172"/>
      <c r="AL74" s="172"/>
      <c r="AM74" s="172"/>
      <c r="AN74" s="172"/>
      <c r="AO74" s="178"/>
      <c r="AP74" s="178"/>
      <c r="AQ74" s="178"/>
    </row>
    <row r="75">
      <c r="A75" s="178"/>
      <c r="B75" s="179"/>
      <c r="C75" s="203" t="s">
        <v>26</v>
      </c>
      <c r="D75" s="201" t="s">
        <v>104</v>
      </c>
      <c r="E75" s="202">
        <v>0.75</v>
      </c>
      <c r="F75" s="202">
        <v>0.25</v>
      </c>
      <c r="J75" s="172"/>
      <c r="K75" s="178"/>
      <c r="L75" s="178"/>
      <c r="M75" s="178"/>
      <c r="N75" s="178"/>
      <c r="O75" s="178"/>
      <c r="P75" s="178"/>
      <c r="Q75" s="178"/>
      <c r="R75" s="172"/>
      <c r="S75" s="172"/>
      <c r="T75" s="172"/>
      <c r="U75" s="175"/>
      <c r="V75" s="175"/>
      <c r="W75" s="175"/>
      <c r="Y75" s="175"/>
      <c r="Z75" s="175"/>
      <c r="AA75" s="175"/>
      <c r="AB75" s="175"/>
      <c r="AC75" s="175"/>
      <c r="AD75" s="175"/>
      <c r="AE75" s="175"/>
      <c r="AH75" s="121"/>
      <c r="AI75" s="121"/>
      <c r="AJ75" s="172"/>
      <c r="AK75" s="172"/>
      <c r="AL75" s="172"/>
      <c r="AM75" s="172"/>
      <c r="AN75" s="172"/>
      <c r="AO75" s="178"/>
      <c r="AP75" s="178"/>
      <c r="AQ75" s="178"/>
    </row>
    <row r="76">
      <c r="A76" s="178"/>
      <c r="B76" s="179"/>
      <c r="C76" s="203" t="s">
        <v>26</v>
      </c>
      <c r="D76" s="201" t="s">
        <v>105</v>
      </c>
      <c r="E76" s="202">
        <v>0.7916666666666666</v>
      </c>
      <c r="F76" s="202">
        <v>0.2916666666666667</v>
      </c>
      <c r="J76" s="172"/>
      <c r="K76" s="178"/>
      <c r="L76" s="178"/>
      <c r="M76" s="178"/>
      <c r="N76" s="178"/>
      <c r="O76" s="178"/>
      <c r="P76" s="178"/>
      <c r="Q76" s="178"/>
      <c r="R76" s="172"/>
      <c r="S76" s="172"/>
      <c r="T76" s="172"/>
      <c r="U76" s="175"/>
      <c r="V76" s="175"/>
      <c r="W76" s="175"/>
      <c r="Y76" s="175"/>
      <c r="Z76" s="175"/>
      <c r="AA76" s="175"/>
      <c r="AB76" s="175"/>
      <c r="AC76" s="175"/>
      <c r="AD76" s="175"/>
      <c r="AE76" s="175"/>
      <c r="AH76" s="121"/>
      <c r="AI76" s="121"/>
      <c r="AJ76" s="172"/>
      <c r="AK76" s="172"/>
      <c r="AL76" s="172"/>
      <c r="AM76" s="172"/>
      <c r="AN76" s="172"/>
      <c r="AO76" s="178"/>
      <c r="AP76" s="178"/>
      <c r="AQ76" s="178"/>
    </row>
    <row r="77">
      <c r="A77" s="178"/>
      <c r="B77" s="179"/>
      <c r="C77" s="203" t="s">
        <v>49</v>
      </c>
      <c r="D77" s="201" t="s">
        <v>101</v>
      </c>
      <c r="E77" s="202">
        <v>0.4166666666666667</v>
      </c>
      <c r="F77" s="202">
        <v>0.9166666666666666</v>
      </c>
      <c r="J77" s="172"/>
      <c r="K77" s="178"/>
      <c r="L77" s="178"/>
      <c r="M77" s="178"/>
      <c r="N77" s="178"/>
      <c r="O77" s="178"/>
      <c r="P77" s="178"/>
      <c r="Q77" s="178"/>
      <c r="R77" s="172"/>
      <c r="S77" s="172"/>
      <c r="T77" s="172"/>
      <c r="U77" s="175"/>
      <c r="V77" s="175"/>
      <c r="W77" s="175"/>
      <c r="Y77" s="175"/>
      <c r="Z77" s="175"/>
      <c r="AA77" s="175"/>
      <c r="AB77" s="175"/>
      <c r="AC77" s="175"/>
      <c r="AD77" s="175"/>
      <c r="AE77" s="175"/>
      <c r="AH77" s="121"/>
      <c r="AI77" s="121"/>
      <c r="AJ77" s="172"/>
      <c r="AK77" s="172"/>
      <c r="AL77" s="172"/>
      <c r="AM77" s="172"/>
      <c r="AN77" s="172"/>
      <c r="AO77" s="178"/>
      <c r="AP77" s="178"/>
      <c r="AQ77" s="178"/>
    </row>
    <row r="78">
      <c r="A78" s="178"/>
      <c r="B78" s="179"/>
      <c r="C78" s="203" t="s">
        <v>62</v>
      </c>
      <c r="D78" s="201" t="s">
        <v>101</v>
      </c>
      <c r="E78" s="202">
        <v>0.4166666666666667</v>
      </c>
      <c r="F78" s="202">
        <v>0.875</v>
      </c>
      <c r="J78" s="172"/>
      <c r="K78" s="178"/>
      <c r="L78" s="178"/>
      <c r="M78" s="178"/>
      <c r="N78" s="178"/>
      <c r="O78" s="178"/>
      <c r="P78" s="178"/>
      <c r="Q78" s="178"/>
      <c r="R78" s="172"/>
      <c r="S78" s="172"/>
      <c r="T78" s="172"/>
      <c r="U78" s="175"/>
      <c r="V78" s="175"/>
      <c r="W78" s="175"/>
      <c r="Y78" s="175"/>
      <c r="Z78" s="175"/>
      <c r="AA78" s="175"/>
      <c r="AB78" s="175"/>
      <c r="AC78" s="175"/>
      <c r="AD78" s="175"/>
      <c r="AE78" s="175"/>
      <c r="AH78" s="121"/>
      <c r="AI78" s="121"/>
      <c r="AJ78" s="172"/>
      <c r="AK78" s="172"/>
      <c r="AL78" s="172"/>
      <c r="AM78" s="172"/>
      <c r="AN78" s="172"/>
      <c r="AO78" s="178"/>
      <c r="AP78" s="178"/>
      <c r="AQ78" s="178"/>
    </row>
    <row r="79">
      <c r="A79" s="178"/>
      <c r="B79" s="179"/>
      <c r="C79" s="178"/>
      <c r="D79" s="178"/>
      <c r="E79" s="178"/>
      <c r="F79" s="181"/>
      <c r="G79" s="178"/>
      <c r="H79" s="178"/>
      <c r="I79" s="178"/>
      <c r="J79" s="172"/>
      <c r="K79" s="178"/>
      <c r="L79" s="178"/>
      <c r="M79" s="178"/>
      <c r="N79" s="178"/>
      <c r="O79" s="178"/>
      <c r="P79" s="178"/>
      <c r="Q79" s="178"/>
      <c r="R79" s="172"/>
      <c r="S79" s="172"/>
      <c r="T79" s="172"/>
      <c r="U79" s="175"/>
      <c r="V79" s="175"/>
      <c r="W79" s="175"/>
      <c r="Y79" s="175"/>
      <c r="Z79" s="175"/>
      <c r="AA79" s="175"/>
      <c r="AB79" s="175"/>
      <c r="AC79" s="175"/>
      <c r="AD79" s="175"/>
      <c r="AE79" s="175"/>
      <c r="AF79" s="175"/>
      <c r="AG79" s="175"/>
      <c r="AH79" s="121"/>
      <c r="AI79" s="121"/>
      <c r="AJ79" s="172"/>
      <c r="AK79" s="172"/>
      <c r="AL79" s="172"/>
      <c r="AM79" s="172"/>
      <c r="AN79" s="172"/>
      <c r="AO79" s="178"/>
      <c r="AP79" s="178"/>
      <c r="AQ79" s="178"/>
    </row>
    <row r="80">
      <c r="A80" s="178"/>
      <c r="B80" s="181"/>
      <c r="C80" s="178"/>
      <c r="D80" s="178"/>
      <c r="E80" s="178"/>
      <c r="F80" s="172"/>
      <c r="G80" s="178"/>
      <c r="H80" s="178"/>
      <c r="I80" s="178"/>
      <c r="J80" s="178"/>
      <c r="K80" s="178"/>
      <c r="L80" s="178"/>
      <c r="M80" s="178"/>
      <c r="N80" s="172"/>
      <c r="O80" s="172"/>
      <c r="P80" s="172"/>
      <c r="Q80" s="175"/>
      <c r="R80" s="175"/>
      <c r="S80" s="175"/>
      <c r="U80" s="175"/>
      <c r="V80" s="175"/>
      <c r="W80" s="175"/>
      <c r="X80" s="175"/>
      <c r="Y80" s="175"/>
      <c r="Z80" s="175"/>
      <c r="AA80" s="175"/>
      <c r="AB80" s="175"/>
      <c r="AC80" s="175"/>
      <c r="AD80" s="121"/>
      <c r="AE80" s="121"/>
      <c r="AF80" s="172"/>
      <c r="AG80" s="172"/>
      <c r="AH80" s="172"/>
      <c r="AI80" s="172"/>
      <c r="AJ80" s="172"/>
      <c r="AK80" s="178"/>
      <c r="AL80" s="178"/>
      <c r="AM80" s="178"/>
    </row>
    <row r="81">
      <c r="A81" s="178"/>
      <c r="B81" s="181"/>
      <c r="C81" s="178"/>
      <c r="D81" s="178"/>
      <c r="E81" s="178"/>
      <c r="F81" s="172"/>
      <c r="G81" s="178"/>
      <c r="H81" s="178"/>
      <c r="I81" s="178"/>
      <c r="J81" s="178"/>
      <c r="K81" s="178"/>
      <c r="L81" s="178"/>
      <c r="M81" s="178"/>
      <c r="N81" s="172"/>
      <c r="O81" s="172"/>
      <c r="P81" s="172"/>
      <c r="Q81" s="175"/>
      <c r="R81" s="175"/>
      <c r="S81" s="175"/>
      <c r="U81" s="175"/>
      <c r="V81" s="175"/>
      <c r="W81" s="175"/>
      <c r="X81" s="175"/>
      <c r="Y81" s="175"/>
      <c r="Z81" s="175"/>
      <c r="AA81" s="175"/>
      <c r="AD81" s="121"/>
      <c r="AE81" s="121"/>
      <c r="AF81" s="172"/>
      <c r="AG81" s="172"/>
      <c r="AH81" s="172"/>
      <c r="AI81" s="172"/>
      <c r="AJ81" s="172"/>
      <c r="AK81" s="178"/>
      <c r="AL81" s="178"/>
      <c r="AM81" s="178"/>
    </row>
    <row r="82">
      <c r="A82" s="178"/>
      <c r="B82" s="181"/>
      <c r="C82" s="204" t="s">
        <v>106</v>
      </c>
      <c r="D82" s="204" t="s">
        <v>107</v>
      </c>
      <c r="E82" s="204" t="s">
        <v>108</v>
      </c>
      <c r="F82" s="172"/>
      <c r="G82" s="187" t="s">
        <v>109</v>
      </c>
      <c r="S82" s="175"/>
      <c r="U82" s="175"/>
      <c r="V82" s="175"/>
      <c r="W82" s="175"/>
      <c r="X82" s="175"/>
      <c r="Y82" s="175"/>
      <c r="Z82" s="175"/>
      <c r="AA82" s="175"/>
      <c r="AD82" s="121"/>
      <c r="AE82" s="121"/>
      <c r="AF82" s="172"/>
      <c r="AG82" s="172"/>
      <c r="AH82" s="172"/>
      <c r="AI82" s="172"/>
      <c r="AJ82" s="172"/>
      <c r="AK82" s="178"/>
      <c r="AL82" s="178"/>
      <c r="AM82" s="178"/>
    </row>
    <row r="83">
      <c r="A83" s="178"/>
      <c r="B83" s="205"/>
      <c r="C83" s="204">
        <v>1.0</v>
      </c>
      <c r="D83" s="204" t="s">
        <v>110</v>
      </c>
      <c r="E83" s="204">
        <v>1.0</v>
      </c>
      <c r="F83" s="205"/>
      <c r="V83" s="175"/>
      <c r="W83" s="175"/>
      <c r="X83" s="175"/>
      <c r="Y83" s="175"/>
      <c r="Z83" s="175"/>
      <c r="AA83" s="175"/>
      <c r="AD83" s="121"/>
      <c r="AE83" s="121"/>
      <c r="AF83" s="172"/>
      <c r="AG83" s="172"/>
      <c r="AH83" s="172"/>
      <c r="AI83" s="172"/>
      <c r="AJ83" s="172"/>
      <c r="AK83" s="178"/>
      <c r="AL83" s="178"/>
      <c r="AM83" s="178"/>
    </row>
    <row r="84">
      <c r="A84" s="178"/>
      <c r="B84" s="178"/>
      <c r="C84" s="204">
        <v>2.0</v>
      </c>
      <c r="D84" s="204" t="s">
        <v>111</v>
      </c>
      <c r="E84" s="204">
        <v>1.0</v>
      </c>
      <c r="F84" s="178"/>
      <c r="W84" s="175"/>
      <c r="X84" s="175"/>
      <c r="Y84" s="175"/>
      <c r="Z84" s="175"/>
      <c r="AA84" s="175"/>
      <c r="AD84" s="121"/>
      <c r="AE84" s="121"/>
      <c r="AF84" s="172"/>
      <c r="AG84" s="172"/>
      <c r="AH84" s="172"/>
      <c r="AI84" s="172"/>
      <c r="AJ84" s="172"/>
      <c r="AK84" s="178"/>
      <c r="AL84" s="178"/>
      <c r="AM84" s="178"/>
    </row>
    <row r="85">
      <c r="A85" s="178"/>
      <c r="B85" s="179"/>
      <c r="C85" s="204">
        <v>3.0</v>
      </c>
      <c r="D85" s="204" t="s">
        <v>112</v>
      </c>
      <c r="E85" s="204">
        <v>2.0</v>
      </c>
      <c r="F85" s="178"/>
      <c r="V85" s="172"/>
      <c r="W85" s="175"/>
      <c r="X85" s="175"/>
      <c r="Y85" s="175"/>
      <c r="AA85" s="175"/>
      <c r="AB85" s="175"/>
      <c r="AC85" s="175"/>
      <c r="AD85" s="175"/>
      <c r="AE85" s="175"/>
      <c r="AH85" s="121"/>
      <c r="AI85" s="121"/>
      <c r="AJ85" s="172"/>
      <c r="AK85" s="172"/>
      <c r="AL85" s="172"/>
      <c r="AM85" s="172"/>
      <c r="AN85" s="172"/>
      <c r="AO85" s="178"/>
      <c r="AP85" s="178"/>
      <c r="AQ85" s="178"/>
    </row>
    <row r="86">
      <c r="A86" s="178"/>
      <c r="B86" s="179"/>
      <c r="C86" s="204">
        <v>4.0</v>
      </c>
      <c r="D86" s="204" t="s">
        <v>113</v>
      </c>
      <c r="E86" s="204">
        <v>3.0</v>
      </c>
      <c r="F86" s="178"/>
      <c r="V86" s="172"/>
      <c r="W86" s="175"/>
      <c r="X86" s="175"/>
      <c r="Y86" s="175"/>
      <c r="AA86" s="175"/>
      <c r="AB86" s="175"/>
      <c r="AC86" s="175"/>
      <c r="AD86" s="175"/>
      <c r="AE86" s="175"/>
      <c r="AH86" s="121"/>
      <c r="AI86" s="121"/>
      <c r="AJ86" s="205"/>
      <c r="AK86" s="205"/>
      <c r="AL86" s="205"/>
      <c r="AM86" s="205"/>
      <c r="AN86" s="205"/>
      <c r="AO86" s="178"/>
      <c r="AP86" s="178"/>
      <c r="AQ86" s="178"/>
    </row>
    <row r="87">
      <c r="A87" s="178"/>
      <c r="B87" s="179"/>
      <c r="C87" s="204">
        <v>5.0</v>
      </c>
      <c r="D87" s="204" t="s">
        <v>114</v>
      </c>
      <c r="E87" s="204">
        <v>3.0</v>
      </c>
      <c r="F87" s="178"/>
      <c r="G87" s="206" t="s">
        <v>115</v>
      </c>
      <c r="V87" s="172"/>
      <c r="W87" s="175"/>
      <c r="X87" s="175"/>
      <c r="Y87" s="175"/>
      <c r="AA87" s="175"/>
      <c r="AB87" s="175"/>
      <c r="AC87" s="175"/>
      <c r="AD87" s="175"/>
      <c r="AE87" s="175"/>
      <c r="AH87" s="121"/>
      <c r="AI87" s="121"/>
      <c r="AJ87" s="178"/>
      <c r="AK87" s="178"/>
      <c r="AL87" s="178"/>
      <c r="AM87" s="178"/>
      <c r="AN87" s="178"/>
      <c r="AO87" s="178"/>
      <c r="AP87" s="178"/>
      <c r="AQ87" s="178"/>
    </row>
    <row r="88">
      <c r="A88" s="178"/>
      <c r="B88" s="179"/>
      <c r="C88" s="204">
        <v>6.0</v>
      </c>
      <c r="D88" s="204" t="s">
        <v>116</v>
      </c>
      <c r="E88" s="204">
        <v>4.0</v>
      </c>
      <c r="F88" s="178"/>
      <c r="V88" s="172"/>
      <c r="W88" s="175"/>
      <c r="X88" s="175"/>
      <c r="Y88" s="175"/>
      <c r="AA88" s="175"/>
      <c r="AB88" s="175"/>
      <c r="AC88" s="175"/>
      <c r="AD88" s="175"/>
      <c r="AE88" s="175"/>
      <c r="AH88" s="121"/>
      <c r="AI88" s="121"/>
      <c r="AJ88" s="178"/>
      <c r="AK88" s="178"/>
      <c r="AL88" s="178"/>
      <c r="AM88" s="178"/>
      <c r="AN88" s="178"/>
      <c r="AO88" s="178"/>
      <c r="AP88" s="178"/>
      <c r="AQ88" s="178"/>
    </row>
    <row r="89">
      <c r="A89" s="178"/>
      <c r="B89" s="179"/>
      <c r="C89" s="204">
        <v>7.0</v>
      </c>
      <c r="D89" s="204" t="s">
        <v>117</v>
      </c>
      <c r="E89" s="204">
        <v>5.0</v>
      </c>
      <c r="F89" s="178"/>
      <c r="V89" s="172"/>
      <c r="W89" s="175"/>
      <c r="X89" s="175"/>
      <c r="Y89" s="175"/>
      <c r="AA89" s="175"/>
      <c r="AB89" s="175"/>
      <c r="AC89" s="175"/>
      <c r="AD89" s="175"/>
      <c r="AE89" s="175"/>
      <c r="AH89" s="121"/>
      <c r="AI89" s="121"/>
      <c r="AJ89" s="178"/>
      <c r="AK89" s="178"/>
      <c r="AL89" s="178"/>
      <c r="AM89" s="178"/>
      <c r="AN89" s="178"/>
      <c r="AO89" s="178"/>
      <c r="AP89" s="178"/>
      <c r="AQ89" s="178"/>
    </row>
    <row r="90">
      <c r="A90" s="178"/>
      <c r="B90" s="179"/>
      <c r="C90" s="204">
        <v>8.0</v>
      </c>
      <c r="D90" s="204" t="s">
        <v>118</v>
      </c>
      <c r="E90" s="204">
        <v>5.0</v>
      </c>
      <c r="F90" s="178"/>
      <c r="V90" s="172"/>
      <c r="W90" s="175"/>
      <c r="X90" s="175"/>
      <c r="Y90" s="175"/>
      <c r="AA90" s="175"/>
      <c r="AB90" s="175"/>
      <c r="AC90" s="175"/>
      <c r="AD90" s="175"/>
      <c r="AE90" s="175"/>
      <c r="AH90" s="121"/>
      <c r="AI90" s="121"/>
      <c r="AJ90" s="178"/>
      <c r="AK90" s="178"/>
      <c r="AL90" s="178"/>
      <c r="AM90" s="178"/>
      <c r="AN90" s="178"/>
      <c r="AO90" s="178"/>
      <c r="AP90" s="178"/>
      <c r="AQ90" s="178"/>
    </row>
    <row r="91">
      <c r="A91" s="178"/>
      <c r="B91" s="179"/>
      <c r="C91" s="204">
        <v>9.0</v>
      </c>
      <c r="D91" s="204" t="s">
        <v>119</v>
      </c>
      <c r="E91" s="204">
        <v>6.0</v>
      </c>
      <c r="F91" s="178"/>
      <c r="V91" s="172"/>
      <c r="W91" s="175"/>
      <c r="X91" s="175"/>
      <c r="Y91" s="175"/>
      <c r="AA91" s="175"/>
      <c r="AB91" s="175"/>
      <c r="AC91" s="175"/>
      <c r="AD91" s="175"/>
      <c r="AE91" s="175"/>
      <c r="AH91" s="121"/>
      <c r="AI91" s="121"/>
      <c r="AJ91" s="178"/>
      <c r="AK91" s="178"/>
      <c r="AL91" s="178"/>
      <c r="AM91" s="178"/>
      <c r="AN91" s="178"/>
      <c r="AO91" s="178"/>
      <c r="AP91" s="178"/>
      <c r="AQ91" s="178"/>
    </row>
    <row r="92">
      <c r="A92" s="178"/>
      <c r="B92" s="179"/>
      <c r="C92" s="204">
        <v>10.0</v>
      </c>
      <c r="D92" s="204" t="s">
        <v>120</v>
      </c>
      <c r="E92" s="204">
        <v>7.0</v>
      </c>
      <c r="F92" s="178"/>
      <c r="G92" s="206" t="s">
        <v>121</v>
      </c>
      <c r="V92" s="172"/>
      <c r="W92" s="175"/>
      <c r="X92" s="175"/>
      <c r="Y92" s="175"/>
      <c r="AA92" s="175"/>
      <c r="AB92" s="175"/>
      <c r="AC92" s="175"/>
      <c r="AD92" s="175"/>
      <c r="AE92" s="175"/>
      <c r="AH92" s="121"/>
      <c r="AI92" s="121"/>
      <c r="AJ92" s="178"/>
      <c r="AK92" s="178"/>
      <c r="AL92" s="178"/>
      <c r="AM92" s="178"/>
      <c r="AN92" s="178"/>
      <c r="AO92" s="178"/>
      <c r="AP92" s="178"/>
      <c r="AQ92" s="178"/>
    </row>
    <row r="93">
      <c r="A93" s="178"/>
      <c r="B93" s="179"/>
      <c r="C93" s="204">
        <v>11.0</v>
      </c>
      <c r="D93" s="204" t="s">
        <v>122</v>
      </c>
      <c r="E93" s="204">
        <v>7.0</v>
      </c>
      <c r="F93" s="178"/>
      <c r="V93" s="172"/>
      <c r="W93" s="175"/>
      <c r="X93" s="175"/>
      <c r="Y93" s="175"/>
      <c r="AA93" s="175"/>
      <c r="AB93" s="175"/>
      <c r="AC93" s="175"/>
      <c r="AD93" s="175"/>
      <c r="AE93" s="175"/>
      <c r="AH93" s="121"/>
      <c r="AI93" s="121"/>
      <c r="AJ93" s="178"/>
      <c r="AK93" s="178"/>
      <c r="AL93" s="178"/>
      <c r="AM93" s="178"/>
      <c r="AN93" s="178"/>
      <c r="AO93" s="178"/>
      <c r="AP93" s="178"/>
      <c r="AQ93" s="178"/>
    </row>
    <row r="94">
      <c r="A94" s="178"/>
      <c r="B94" s="179"/>
      <c r="C94" s="204">
        <v>12.0</v>
      </c>
      <c r="D94" s="204" t="s">
        <v>123</v>
      </c>
      <c r="E94" s="204">
        <v>8.0</v>
      </c>
      <c r="F94" s="178"/>
      <c r="H94" s="181"/>
      <c r="I94" s="178"/>
      <c r="J94" s="178"/>
      <c r="K94" s="178"/>
      <c r="L94" s="172"/>
      <c r="M94" s="178"/>
      <c r="N94" s="178"/>
      <c r="O94" s="178"/>
      <c r="P94" s="178"/>
      <c r="Q94" s="178"/>
      <c r="R94" s="178"/>
      <c r="S94" s="178"/>
      <c r="T94" s="172"/>
      <c r="U94" s="172"/>
      <c r="V94" s="172"/>
      <c r="W94" s="175"/>
      <c r="X94" s="175"/>
      <c r="Y94" s="175"/>
      <c r="AA94" s="175"/>
      <c r="AB94" s="175"/>
      <c r="AC94" s="175"/>
      <c r="AD94" s="175"/>
      <c r="AE94" s="175"/>
      <c r="AH94" s="121"/>
      <c r="AI94" s="121"/>
      <c r="AJ94" s="178"/>
      <c r="AK94" s="178"/>
      <c r="AL94" s="178"/>
      <c r="AM94" s="178"/>
      <c r="AN94" s="178"/>
      <c r="AO94" s="178"/>
      <c r="AP94" s="178"/>
      <c r="AQ94" s="178"/>
    </row>
    <row r="95">
      <c r="A95" s="178"/>
      <c r="B95" s="179"/>
      <c r="C95" s="204">
        <v>13.0</v>
      </c>
      <c r="D95" s="204" t="s">
        <v>124</v>
      </c>
      <c r="E95" s="204">
        <v>9.0</v>
      </c>
      <c r="F95" s="178"/>
      <c r="G95" s="206" t="s">
        <v>125</v>
      </c>
      <c r="V95" s="172"/>
      <c r="W95" s="175"/>
      <c r="X95" s="175"/>
      <c r="Y95" s="175"/>
      <c r="AA95" s="175"/>
      <c r="AB95" s="175"/>
      <c r="AC95" s="175"/>
      <c r="AD95" s="175"/>
      <c r="AE95" s="175"/>
      <c r="AH95" s="121"/>
      <c r="AI95" s="121"/>
      <c r="AJ95" s="178"/>
      <c r="AK95" s="178"/>
      <c r="AL95" s="178"/>
      <c r="AM95" s="178"/>
      <c r="AN95" s="178"/>
      <c r="AO95" s="178"/>
      <c r="AP95" s="178"/>
      <c r="AQ95" s="178"/>
    </row>
    <row r="96">
      <c r="A96" s="178"/>
      <c r="B96" s="179"/>
      <c r="C96" s="204">
        <v>14.0</v>
      </c>
      <c r="D96" s="204" t="s">
        <v>126</v>
      </c>
      <c r="E96" s="204">
        <v>9.0</v>
      </c>
      <c r="F96" s="178"/>
      <c r="V96" s="172"/>
      <c r="W96" s="175"/>
      <c r="X96" s="175"/>
      <c r="Y96" s="175"/>
      <c r="AA96" s="175"/>
      <c r="AB96" s="175"/>
      <c r="AC96" s="175"/>
      <c r="AD96" s="175"/>
      <c r="AE96" s="175"/>
      <c r="AH96" s="121"/>
      <c r="AI96" s="121"/>
      <c r="AJ96" s="178"/>
      <c r="AK96" s="178"/>
      <c r="AL96" s="178"/>
      <c r="AM96" s="178"/>
      <c r="AN96" s="178"/>
      <c r="AO96" s="178"/>
      <c r="AP96" s="178"/>
      <c r="AQ96" s="178"/>
    </row>
    <row r="97">
      <c r="A97" s="178"/>
      <c r="B97" s="179"/>
      <c r="C97" s="204">
        <v>15.0</v>
      </c>
      <c r="D97" s="204" t="s">
        <v>127</v>
      </c>
      <c r="E97" s="204">
        <v>10.0</v>
      </c>
      <c r="F97" s="178"/>
      <c r="V97" s="172"/>
      <c r="W97" s="175"/>
      <c r="X97" s="175"/>
      <c r="Y97" s="175"/>
      <c r="AA97" s="175"/>
      <c r="AB97" s="175"/>
      <c r="AC97" s="175"/>
      <c r="AD97" s="175"/>
      <c r="AE97" s="175"/>
      <c r="AH97" s="121"/>
      <c r="AI97" s="121"/>
      <c r="AJ97" s="178"/>
      <c r="AK97" s="178"/>
      <c r="AL97" s="178"/>
      <c r="AM97" s="178"/>
      <c r="AN97" s="178"/>
      <c r="AO97" s="178"/>
      <c r="AP97" s="178"/>
      <c r="AQ97" s="178"/>
    </row>
    <row r="98">
      <c r="A98" s="178"/>
      <c r="B98" s="179"/>
      <c r="C98" s="204">
        <v>16.0</v>
      </c>
      <c r="D98" s="204" t="s">
        <v>128</v>
      </c>
      <c r="E98" s="204">
        <v>11.0</v>
      </c>
      <c r="F98" s="178"/>
      <c r="V98" s="172"/>
      <c r="W98" s="175"/>
      <c r="X98" s="175"/>
      <c r="Y98" s="175"/>
      <c r="AA98" s="175"/>
      <c r="AB98" s="175"/>
      <c r="AC98" s="175"/>
      <c r="AD98" s="175"/>
      <c r="AE98" s="175"/>
      <c r="AH98" s="121"/>
      <c r="AI98" s="121"/>
      <c r="AJ98" s="178"/>
      <c r="AK98" s="178"/>
      <c r="AL98" s="178"/>
      <c r="AM98" s="178"/>
      <c r="AN98" s="178"/>
      <c r="AO98" s="178"/>
      <c r="AP98" s="178"/>
      <c r="AQ98" s="178"/>
    </row>
    <row r="99">
      <c r="A99" s="178"/>
      <c r="B99" s="179"/>
      <c r="C99" s="204">
        <v>17.0</v>
      </c>
      <c r="D99" s="204" t="s">
        <v>129</v>
      </c>
      <c r="E99" s="204">
        <v>11.0</v>
      </c>
      <c r="F99" s="178"/>
      <c r="H99" s="181"/>
      <c r="I99" s="178"/>
      <c r="J99" s="178"/>
      <c r="K99" s="178"/>
      <c r="L99" s="172"/>
      <c r="M99" s="178"/>
      <c r="N99" s="178"/>
      <c r="O99" s="178"/>
      <c r="P99" s="178"/>
      <c r="Q99" s="178"/>
      <c r="R99" s="178"/>
      <c r="S99" s="178"/>
      <c r="T99" s="172"/>
      <c r="U99" s="172"/>
      <c r="V99" s="172"/>
      <c r="W99" s="175"/>
      <c r="X99" s="175"/>
      <c r="Y99" s="175"/>
      <c r="AA99" s="175"/>
      <c r="AB99" s="175"/>
      <c r="AC99" s="175"/>
      <c r="AD99" s="175"/>
      <c r="AE99" s="175"/>
      <c r="AH99" s="121"/>
      <c r="AI99" s="121"/>
      <c r="AJ99" s="178"/>
      <c r="AK99" s="178"/>
      <c r="AL99" s="178"/>
      <c r="AM99" s="178"/>
      <c r="AN99" s="178"/>
      <c r="AO99" s="178"/>
      <c r="AP99" s="178"/>
      <c r="AQ99" s="178"/>
    </row>
    <row r="100">
      <c r="A100" s="178"/>
      <c r="B100" s="179"/>
      <c r="C100" s="204">
        <v>18.0</v>
      </c>
      <c r="D100" s="204" t="s">
        <v>130</v>
      </c>
      <c r="E100" s="204">
        <v>12.0</v>
      </c>
      <c r="F100" s="178"/>
      <c r="G100" s="206" t="s">
        <v>131</v>
      </c>
      <c r="V100" s="172"/>
      <c r="W100" s="175"/>
      <c r="X100" s="175"/>
      <c r="Y100" s="175"/>
      <c r="AA100" s="175"/>
      <c r="AB100" s="175"/>
      <c r="AC100" s="175"/>
      <c r="AD100" s="175"/>
      <c r="AE100" s="175"/>
      <c r="AH100" s="121"/>
      <c r="AI100" s="121"/>
      <c r="AJ100" s="178"/>
      <c r="AK100" s="178"/>
      <c r="AL100" s="178"/>
      <c r="AM100" s="178"/>
      <c r="AN100" s="178"/>
      <c r="AO100" s="178"/>
      <c r="AP100" s="178"/>
      <c r="AQ100" s="178"/>
    </row>
    <row r="101">
      <c r="A101" s="178"/>
      <c r="B101" s="179"/>
      <c r="C101" s="204">
        <v>19.0</v>
      </c>
      <c r="D101" s="204" t="s">
        <v>132</v>
      </c>
      <c r="E101" s="204">
        <v>13.0</v>
      </c>
      <c r="F101" s="178"/>
      <c r="V101" s="172"/>
      <c r="W101" s="175"/>
      <c r="X101" s="175"/>
      <c r="Y101" s="175"/>
      <c r="AA101" s="175"/>
      <c r="AB101" s="175"/>
      <c r="AC101" s="175"/>
      <c r="AD101" s="175"/>
      <c r="AE101" s="175"/>
      <c r="AH101" s="121"/>
      <c r="AI101" s="121"/>
      <c r="AJ101" s="178"/>
      <c r="AK101" s="178"/>
      <c r="AL101" s="178"/>
      <c r="AM101" s="178"/>
      <c r="AN101" s="178"/>
      <c r="AO101" s="178"/>
      <c r="AP101" s="178"/>
      <c r="AQ101" s="178"/>
    </row>
    <row r="102">
      <c r="A102" s="178"/>
      <c r="B102" s="179"/>
      <c r="C102" s="204">
        <v>20.0</v>
      </c>
      <c r="D102" s="204" t="s">
        <v>133</v>
      </c>
      <c r="E102" s="204">
        <v>13.0</v>
      </c>
      <c r="F102" s="178"/>
      <c r="V102" s="172"/>
      <c r="W102" s="175"/>
      <c r="X102" s="175"/>
      <c r="Y102" s="175"/>
      <c r="AA102" s="175"/>
      <c r="AB102" s="175"/>
      <c r="AC102" s="175"/>
      <c r="AD102" s="175"/>
      <c r="AE102" s="175"/>
      <c r="AH102" s="121"/>
      <c r="AI102" s="121"/>
      <c r="AJ102" s="178"/>
      <c r="AK102" s="178"/>
      <c r="AL102" s="178"/>
      <c r="AM102" s="178"/>
      <c r="AN102" s="178"/>
      <c r="AO102" s="178"/>
      <c r="AP102" s="178"/>
      <c r="AQ102" s="178"/>
    </row>
    <row r="103">
      <c r="A103" s="178"/>
      <c r="B103" s="179"/>
      <c r="C103" s="207"/>
      <c r="D103" s="207"/>
      <c r="E103" s="207"/>
      <c r="F103" s="178"/>
      <c r="V103" s="172"/>
      <c r="W103" s="175"/>
      <c r="X103" s="175"/>
      <c r="Y103" s="175"/>
      <c r="AA103" s="175"/>
      <c r="AB103" s="175"/>
      <c r="AC103" s="175"/>
      <c r="AD103" s="175"/>
      <c r="AE103" s="175"/>
      <c r="AH103" s="121"/>
      <c r="AI103" s="121"/>
      <c r="AJ103" s="178"/>
      <c r="AK103" s="178"/>
      <c r="AL103" s="178"/>
      <c r="AM103" s="178"/>
      <c r="AN103" s="178"/>
      <c r="AO103" s="178"/>
      <c r="AP103" s="178"/>
      <c r="AQ103" s="178"/>
    </row>
  </sheetData>
  <mergeCells count="38">
    <mergeCell ref="AT5:AT6"/>
    <mergeCell ref="AU5:AU6"/>
    <mergeCell ref="G82:R85"/>
    <mergeCell ref="G87:U90"/>
    <mergeCell ref="G92:U93"/>
    <mergeCell ref="G95:U98"/>
    <mergeCell ref="G100:U103"/>
    <mergeCell ref="AV5:AV6"/>
    <mergeCell ref="AW5:AW6"/>
    <mergeCell ref="AX5:AX6"/>
    <mergeCell ref="AY5:AY6"/>
    <mergeCell ref="AL4:AN4"/>
    <mergeCell ref="AO4:AQ4"/>
    <mergeCell ref="AR4:AT4"/>
    <mergeCell ref="AU4:AW4"/>
    <mergeCell ref="AX4:AZ4"/>
    <mergeCell ref="AF5:AF6"/>
    <mergeCell ref="AG5:AG6"/>
    <mergeCell ref="AZ5:AZ6"/>
    <mergeCell ref="D2:I2"/>
    <mergeCell ref="J2:P2"/>
    <mergeCell ref="Q2:W2"/>
    <mergeCell ref="X2:AD2"/>
    <mergeCell ref="AH2:AK3"/>
    <mergeCell ref="AL2:AZ3"/>
    <mergeCell ref="A3:B3"/>
    <mergeCell ref="AH5:AH6"/>
    <mergeCell ref="AI5:AI6"/>
    <mergeCell ref="AJ5:AJ6"/>
    <mergeCell ref="AK5:AK6"/>
    <mergeCell ref="AL5:AL6"/>
    <mergeCell ref="AM5:AM6"/>
    <mergeCell ref="AN5:AN6"/>
    <mergeCell ref="AO5:AO6"/>
    <mergeCell ref="AP5:AP6"/>
    <mergeCell ref="AQ5:AQ6"/>
    <mergeCell ref="AR5:AR6"/>
    <mergeCell ref="AS5:AS6"/>
  </mergeCells>
  <conditionalFormatting sqref="AO52:AQ54">
    <cfRule type="expression" dxfId="0" priority="1">
      <formula>ISERROR(Q56:AQ56)</formula>
    </cfRule>
  </conditionalFormatting>
  <conditionalFormatting sqref="AJ55:AN57">
    <cfRule type="expression" dxfId="0" priority="2">
      <formula>ISERROR(J56:AE56)</formula>
    </cfRule>
  </conditionalFormatting>
  <conditionalFormatting sqref="AF39:AG39 B40:C40 B44:C45 K44 L44:N45 F47:F49 I47:K49 D48:E49 G48:H49 L48:AD49 AJ48:AN48 AE49">
    <cfRule type="cellIs" dxfId="1" priority="3" operator="greaterThan">
      <formula>3</formula>
    </cfRule>
  </conditionalFormatting>
  <conditionalFormatting sqref="L45:N47 AJ48:AN50 D49:AE51">
    <cfRule type="cellIs" dxfId="2" priority="4" operator="lessThan">
      <formula>3</formula>
    </cfRule>
  </conditionalFormatting>
  <conditionalFormatting sqref="L45:N47 AJ48:AN50 D49:AE51">
    <cfRule type="cellIs" dxfId="3" priority="5" operator="equal">
      <formula>3</formula>
    </cfRule>
  </conditionalFormatting>
  <conditionalFormatting sqref="L46:N46 AJ49:AN49 D50:AE50">
    <cfRule type="cellIs" dxfId="1" priority="6" operator="equal">
      <formula>4</formula>
    </cfRule>
  </conditionalFormatting>
  <conditionalFormatting sqref="G65 G67:H67">
    <cfRule type="notContainsBlanks" dxfId="3" priority="7">
      <formula>LEN(TRIM(G65))&gt;0</formula>
    </cfRule>
  </conditionalFormatting>
  <conditionalFormatting sqref="D56:AE58">
    <cfRule type="expression" dxfId="0" priority="8">
      <formula>ISERROR(D56:AD56)</formula>
    </cfRule>
  </conditionalFormatting>
  <conditionalFormatting sqref="AO52:AQ54 AJ55:AN57 D56:AE58">
    <cfRule type="cellIs" dxfId="3" priority="9" operator="equal">
      <formula>"100%"</formula>
    </cfRule>
  </conditionalFormatting>
  <conditionalFormatting sqref="AO52:AQ54 AJ55:AN57 D56:AE58">
    <cfRule type="cellIs" dxfId="2" priority="10" operator="between">
      <formula>0</formula>
      <formula>"50%"</formula>
    </cfRule>
  </conditionalFormatting>
  <conditionalFormatting sqref="AO52:AQ54 AJ55:AN57 D56:AE58">
    <cfRule type="cellIs" dxfId="4" priority="11" operator="greaterThan">
      <formula>"100%"</formula>
    </cfRule>
  </conditionalFormatting>
  <conditionalFormatting sqref="AO56:AQ58 AJ59:AN61 D60:AE62">
    <cfRule type="cellIs" dxfId="3" priority="12" operator="equal">
      <formula>6</formula>
    </cfRule>
  </conditionalFormatting>
  <conditionalFormatting sqref="AO56:AQ58 AJ59:AN61 D60:AE62">
    <cfRule type="cellIs" dxfId="1" priority="13" operator="greaterThanOrEqual">
      <formula>8</formula>
    </cfRule>
  </conditionalFormatting>
  <conditionalFormatting sqref="AO56:AQ58 AJ59:AN61 D60:AE62">
    <cfRule type="cellIs" dxfId="5" priority="14" operator="lessThan">
      <formula>5</formula>
    </cfRule>
  </conditionalFormatting>
  <conditionalFormatting sqref="AO56:AQ58 AJ59:AN61 D60:AE62">
    <cfRule type="cellIs" dxfId="6" priority="15" operator="equal">
      <formula>7</formula>
    </cfRule>
  </conditionalFormatting>
  <conditionalFormatting sqref="B37:B38">
    <cfRule type="notContainsBlanks" dxfId="3" priority="16">
      <formula>LEN(TRIM(B37))&gt;0</formula>
    </cfRule>
  </conditionalFormatting>
  <conditionalFormatting sqref="AO48:AQ48 AJ51:AN51 D52:AE52">
    <cfRule type="cellIs" dxfId="0" priority="17" operator="equal">
      <formula>0</formula>
    </cfRule>
  </conditionalFormatting>
  <conditionalFormatting sqref="AO48:AQ48 AJ51:AN51 D52:AE52">
    <cfRule type="cellIs" dxfId="3" priority="18" operator="greaterThan">
      <formula>4</formula>
    </cfRule>
  </conditionalFormatting>
  <conditionalFormatting sqref="L46:N46 AJ49:AN49 D50:AE50">
    <cfRule type="cellIs" dxfId="6" priority="19" operator="greaterThanOrEqual">
      <formula>5</formula>
    </cfRule>
  </conditionalFormatting>
  <conditionalFormatting sqref="D5:AW5">
    <cfRule type="expression" dxfId="3" priority="20">
      <formula>COUNTIF($D$5:$AE$5,D5)&gt;2</formula>
    </cfRule>
  </conditionalFormatting>
  <conditionalFormatting sqref="AQ5:AQ31 AN7:AN31 AT7:AT31 AW7:AW31 AN34:AN39 AQ34:AQ39 AT34:AT39 AW34:AW39">
    <cfRule type="cellIs" dxfId="7" priority="21" operator="equal">
      <formula>60</formula>
    </cfRule>
  </conditionalFormatting>
  <conditionalFormatting sqref="AH7:AI31 AH34:AI36">
    <cfRule type="containsText" dxfId="2" priority="22" operator="containsText" text="violation">
      <formula>NOT(ISERROR(SEARCH(("violation"),(AH7))))</formula>
    </cfRule>
  </conditionalFormatting>
  <conditionalFormatting sqref="AM28">
    <cfRule type="cellIs" dxfId="2" priority="23" operator="greaterThanOrEqual">
      <formula>60</formula>
    </cfRule>
  </conditionalFormatting>
  <conditionalFormatting sqref="AQ5:AQ31 AN7:AN31 AT7:AT31 AW7:AW31 AN34:AN39 AQ34:AQ39 AT34:AT39 AW34:AW39">
    <cfRule type="cellIs" dxfId="8" priority="24" operator="greaterThan">
      <formula>60</formula>
    </cfRule>
  </conditionalFormatting>
  <conditionalFormatting sqref="AG2">
    <cfRule type="notContainsBlanks" dxfId="3" priority="25">
      <formula>LEN(TRIM(AG2))&gt;0</formula>
    </cfRule>
  </conditionalFormatting>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8" t="s">
        <v>134</v>
      </c>
      <c r="B1" s="209"/>
      <c r="C1" s="210"/>
      <c r="D1" s="210"/>
      <c r="E1" s="210"/>
      <c r="F1" s="210"/>
    </row>
    <row r="2">
      <c r="A2" s="208" t="s">
        <v>135</v>
      </c>
      <c r="B2" s="211"/>
      <c r="C2" s="142"/>
      <c r="D2" s="142"/>
      <c r="E2" s="142"/>
      <c r="F2" s="142"/>
    </row>
    <row r="3">
      <c r="A3" s="208" t="s">
        <v>136</v>
      </c>
      <c r="B3" s="211"/>
      <c r="C3" s="142"/>
      <c r="D3" s="142"/>
      <c r="E3" s="142"/>
      <c r="F3" s="142"/>
    </row>
    <row r="4">
      <c r="A4" s="208" t="s">
        <v>137</v>
      </c>
      <c r="B4" s="211"/>
      <c r="C4" s="142"/>
      <c r="D4" s="212"/>
      <c r="E4" s="142"/>
      <c r="F4" s="142"/>
    </row>
    <row r="5">
      <c r="A5" s="208" t="s">
        <v>138</v>
      </c>
      <c r="B5" s="211"/>
      <c r="C5" s="142"/>
      <c r="D5" s="142"/>
      <c r="E5" s="142"/>
      <c r="F5" s="142"/>
    </row>
    <row r="6">
      <c r="A6" s="208" t="s">
        <v>139</v>
      </c>
      <c r="B6" s="211"/>
      <c r="C6" s="142"/>
      <c r="D6" s="142"/>
      <c r="E6" s="142"/>
      <c r="F6" s="142"/>
    </row>
    <row r="7">
      <c r="A7" s="208" t="s">
        <v>140</v>
      </c>
      <c r="B7" s="211"/>
      <c r="C7" s="142"/>
      <c r="D7" s="142"/>
      <c r="E7" s="142"/>
      <c r="F7" s="142"/>
    </row>
    <row r="8">
      <c r="A8" s="208" t="s">
        <v>141</v>
      </c>
      <c r="B8" s="213"/>
      <c r="C8" s="142"/>
      <c r="D8" s="214"/>
      <c r="E8" s="142"/>
      <c r="F8" s="142"/>
    </row>
    <row r="9">
      <c r="A9" s="208" t="s">
        <v>142</v>
      </c>
      <c r="B9" s="213"/>
      <c r="C9" s="142"/>
      <c r="D9" s="142"/>
      <c r="E9" s="142"/>
      <c r="F9" s="142"/>
    </row>
    <row r="10">
      <c r="A10" s="208"/>
      <c r="B10" s="213"/>
      <c r="C10" s="142"/>
      <c r="D10" s="142"/>
      <c r="E10" s="142"/>
      <c r="F10" s="142"/>
    </row>
    <row r="11">
      <c r="A11" s="208" t="s">
        <v>143</v>
      </c>
      <c r="B11" s="211"/>
      <c r="C11" s="142"/>
      <c r="D11" s="142"/>
      <c r="E11" s="142"/>
      <c r="F11" s="142"/>
    </row>
    <row r="12">
      <c r="A12" s="208" t="s">
        <v>144</v>
      </c>
      <c r="B12" s="211"/>
      <c r="C12" s="142"/>
      <c r="D12" s="142"/>
      <c r="E12" s="142"/>
      <c r="F12" s="142"/>
    </row>
    <row r="13">
      <c r="A13" s="208" t="s">
        <v>145</v>
      </c>
      <c r="B13" s="211"/>
      <c r="C13" s="142"/>
      <c r="D13" s="142"/>
      <c r="E13" s="142"/>
      <c r="F13" s="142"/>
    </row>
    <row r="14">
      <c r="A14" s="208" t="s">
        <v>146</v>
      </c>
      <c r="B14" s="215"/>
      <c r="C14" s="142"/>
      <c r="D14" s="142"/>
      <c r="E14" s="142"/>
      <c r="F14" s="142"/>
    </row>
    <row r="15">
      <c r="A15" s="142"/>
      <c r="B15" s="215"/>
      <c r="C15" s="142"/>
      <c r="D15" s="142"/>
      <c r="E15" s="142"/>
      <c r="F15" s="142"/>
    </row>
    <row r="16">
      <c r="A16" s="142"/>
      <c r="B16" s="215"/>
      <c r="C16" s="142"/>
      <c r="D16" s="142"/>
      <c r="E16" s="142"/>
      <c r="F16" s="142"/>
    </row>
    <row r="17">
      <c r="A17" s="142"/>
      <c r="B17" s="215"/>
      <c r="C17" s="142"/>
      <c r="D17" s="142"/>
      <c r="E17" s="142"/>
      <c r="F17" s="142"/>
    </row>
    <row r="18">
      <c r="A18" s="142"/>
      <c r="B18" s="142"/>
      <c r="C18" s="142"/>
      <c r="D18" s="142"/>
      <c r="E18" s="142"/>
      <c r="F18" s="142"/>
    </row>
    <row r="19">
      <c r="A19" s="142"/>
      <c r="B19" s="215"/>
      <c r="C19" s="142"/>
      <c r="D19" s="142"/>
      <c r="E19" s="142"/>
      <c r="F19" s="142"/>
    </row>
    <row r="20">
      <c r="A20" s="142"/>
      <c r="B20" s="215"/>
      <c r="C20" s="142"/>
      <c r="D20" s="142"/>
      <c r="E20" s="142"/>
      <c r="F20" s="142"/>
    </row>
    <row r="21">
      <c r="A21" s="142"/>
      <c r="B21" s="215"/>
      <c r="C21" s="142"/>
      <c r="D21" s="142"/>
      <c r="E21" s="142"/>
      <c r="F21" s="142"/>
    </row>
    <row r="22">
      <c r="A22" s="142"/>
      <c r="B22" s="215"/>
      <c r="C22" s="142"/>
      <c r="D22" s="142"/>
      <c r="E22" s="142"/>
      <c r="F22" s="142"/>
    </row>
    <row r="23">
      <c r="A23" s="142"/>
      <c r="B23" s="215"/>
      <c r="C23" s="142"/>
      <c r="D23" s="142"/>
      <c r="E23" s="142"/>
      <c r="F23" s="142"/>
    </row>
    <row r="24">
      <c r="A24" s="142"/>
      <c r="B24" s="142"/>
      <c r="C24" s="142"/>
      <c r="D24" s="142"/>
      <c r="E24" s="142"/>
      <c r="F24" s="142"/>
    </row>
    <row r="25">
      <c r="A25" s="142"/>
      <c r="B25" s="142"/>
      <c r="C25" s="142"/>
      <c r="D25" s="142"/>
      <c r="E25" s="142"/>
      <c r="F25" s="142"/>
    </row>
    <row r="26">
      <c r="A26" s="142"/>
      <c r="B26" s="142"/>
      <c r="C26" s="142"/>
      <c r="D26" s="142"/>
      <c r="E26" s="142"/>
      <c r="F26" s="142"/>
    </row>
    <row r="27">
      <c r="A27" s="142"/>
      <c r="B27" s="142"/>
      <c r="C27" s="215"/>
      <c r="D27" s="212"/>
      <c r="E27" s="142"/>
      <c r="F27" s="142"/>
    </row>
    <row r="28">
      <c r="A28" s="142"/>
      <c r="B28" s="142"/>
      <c r="C28" s="215"/>
      <c r="D28" s="142"/>
      <c r="E28" s="142"/>
      <c r="F28" s="142"/>
    </row>
    <row r="29">
      <c r="A29" s="142"/>
      <c r="B29" s="142"/>
      <c r="C29" s="215"/>
      <c r="D29" s="142"/>
      <c r="E29" s="142"/>
      <c r="F29" s="142"/>
    </row>
    <row r="30">
      <c r="A30" s="142"/>
      <c r="B30" s="142"/>
      <c r="C30" s="142"/>
      <c r="D30" s="142"/>
      <c r="E30" s="142"/>
      <c r="F30" s="142"/>
    </row>
    <row r="31">
      <c r="A31" s="142"/>
      <c r="B31" s="142"/>
      <c r="C31" s="142"/>
      <c r="D31" s="142"/>
      <c r="E31" s="142"/>
      <c r="F31" s="142"/>
    </row>
    <row r="32">
      <c r="A32" s="210"/>
      <c r="B32" s="142"/>
      <c r="C32" s="142"/>
      <c r="D32" s="142"/>
      <c r="E32" s="142"/>
      <c r="F32" s="142"/>
    </row>
    <row r="33">
      <c r="A33" s="142"/>
      <c r="B33" s="215"/>
      <c r="C33" s="215"/>
      <c r="D33" s="142"/>
      <c r="E33" s="142"/>
      <c r="F33" s="142"/>
    </row>
    <row r="34">
      <c r="A34" s="142"/>
      <c r="B34" s="215"/>
      <c r="C34" s="215"/>
      <c r="D34" s="142"/>
      <c r="E34" s="142"/>
      <c r="F34" s="142"/>
    </row>
    <row r="35">
      <c r="A35" s="142"/>
      <c r="B35" s="215"/>
      <c r="C35" s="215"/>
      <c r="D35" s="142"/>
      <c r="E35" s="142"/>
      <c r="F35" s="142"/>
    </row>
    <row r="36">
      <c r="A36" s="210"/>
      <c r="B36" s="142"/>
      <c r="C36" s="142"/>
      <c r="D36" s="142"/>
      <c r="E36" s="142"/>
      <c r="F36" s="142"/>
    </row>
    <row r="37">
      <c r="A37" s="142"/>
      <c r="B37" s="215"/>
      <c r="C37" s="215"/>
      <c r="D37" s="142"/>
      <c r="E37" s="142"/>
      <c r="F37" s="142"/>
    </row>
    <row r="38">
      <c r="A38" s="142"/>
      <c r="B38" s="215"/>
      <c r="C38" s="215"/>
      <c r="D38" s="142"/>
      <c r="E38" s="142"/>
      <c r="F38" s="142"/>
    </row>
    <row r="39">
      <c r="A39" s="142"/>
      <c r="B39" s="142"/>
      <c r="C39" s="142"/>
      <c r="D39" s="142"/>
      <c r="E39" s="142"/>
      <c r="F39" s="142"/>
    </row>
    <row r="40">
      <c r="A40" s="142"/>
      <c r="B40" s="142"/>
      <c r="C40" s="142"/>
      <c r="D40" s="142"/>
      <c r="E40" s="142"/>
      <c r="F40" s="142"/>
    </row>
    <row r="41">
      <c r="A41" s="142"/>
      <c r="B41" s="142"/>
      <c r="C41" s="142"/>
      <c r="D41" s="142"/>
      <c r="E41" s="142"/>
      <c r="F41" s="142"/>
    </row>
    <row r="42">
      <c r="A42" s="210"/>
      <c r="B42" s="142"/>
      <c r="C42" s="142"/>
      <c r="D42" s="142"/>
      <c r="E42" s="142"/>
      <c r="F42" s="142"/>
    </row>
    <row r="43">
      <c r="A43" s="142"/>
      <c r="B43" s="142"/>
      <c r="C43" s="215"/>
      <c r="D43" s="142"/>
      <c r="E43" s="142"/>
      <c r="F43" s="142"/>
    </row>
    <row r="44">
      <c r="A44" s="142"/>
      <c r="B44" s="142"/>
      <c r="C44" s="215"/>
      <c r="D44" s="142"/>
      <c r="E44" s="142"/>
      <c r="F44" s="142"/>
    </row>
    <row r="45">
      <c r="A45" s="142"/>
      <c r="B45" s="142"/>
      <c r="C45" s="215"/>
      <c r="D45" s="142"/>
      <c r="E45" s="142"/>
      <c r="F45" s="142"/>
    </row>
    <row r="46">
      <c r="A46" s="142"/>
      <c r="B46" s="142"/>
      <c r="C46" s="215"/>
      <c r="D46" s="142"/>
      <c r="E46" s="142"/>
      <c r="F46" s="142"/>
    </row>
    <row r="47">
      <c r="A47" s="142"/>
      <c r="B47" s="142"/>
      <c r="C47" s="215"/>
      <c r="D47" s="142"/>
      <c r="E47" s="142"/>
      <c r="F47" s="142"/>
    </row>
    <row r="48">
      <c r="A48" s="142"/>
      <c r="B48" s="142"/>
      <c r="C48" s="215"/>
      <c r="D48" s="142"/>
      <c r="E48" s="142"/>
      <c r="F48" s="142"/>
    </row>
    <row r="49">
      <c r="A49" s="142"/>
      <c r="B49" s="142"/>
      <c r="C49" s="142"/>
      <c r="D49" s="142"/>
      <c r="E49" s="142"/>
      <c r="F49" s="142"/>
    </row>
    <row r="50">
      <c r="A50" s="142"/>
      <c r="B50" s="142"/>
      <c r="C50" s="142"/>
      <c r="D50" s="142"/>
      <c r="E50" s="142"/>
      <c r="F50" s="142"/>
    </row>
    <row r="51">
      <c r="A51" s="142"/>
      <c r="B51" s="142"/>
      <c r="C51" s="142"/>
      <c r="D51" s="142"/>
      <c r="E51" s="142"/>
      <c r="F51" s="142"/>
    </row>
    <row r="52">
      <c r="A52" s="142" t="s">
        <v>147</v>
      </c>
      <c r="B52" s="142"/>
      <c r="C52" s="142"/>
      <c r="D52" s="142"/>
      <c r="E52" s="142"/>
      <c r="F52" s="142"/>
    </row>
    <row r="53">
      <c r="A53" s="142" t="s">
        <v>36</v>
      </c>
      <c r="B53" s="142"/>
      <c r="C53" s="215">
        <v>8.0</v>
      </c>
      <c r="D53" s="142"/>
      <c r="E53" s="142"/>
      <c r="F53" s="142"/>
    </row>
    <row r="54">
      <c r="A54" s="142" t="s">
        <v>38</v>
      </c>
      <c r="B54" s="142"/>
      <c r="C54" s="215">
        <v>11.0</v>
      </c>
      <c r="D54" s="142"/>
      <c r="E54" s="142"/>
      <c r="F54" s="142"/>
    </row>
    <row r="55">
      <c r="A55" s="142" t="s">
        <v>45</v>
      </c>
      <c r="B55" s="142"/>
      <c r="C55" s="215">
        <v>9.0</v>
      </c>
      <c r="D55" s="142" t="s">
        <v>148</v>
      </c>
      <c r="E55" s="142" t="s">
        <v>149</v>
      </c>
      <c r="F55" s="142"/>
    </row>
    <row r="56">
      <c r="A56" s="142" t="s">
        <v>50</v>
      </c>
      <c r="B56" s="142"/>
      <c r="C56" s="215">
        <v>9.0</v>
      </c>
      <c r="D56" s="142" t="s">
        <v>150</v>
      </c>
      <c r="E56" s="142" t="s">
        <v>151</v>
      </c>
      <c r="F56" s="142"/>
    </row>
    <row r="57">
      <c r="A57" s="142" t="s">
        <v>48</v>
      </c>
      <c r="B57" s="142"/>
      <c r="C57" s="215">
        <v>13.0</v>
      </c>
      <c r="D57" s="142"/>
      <c r="E57" s="142"/>
      <c r="F57" s="142"/>
    </row>
    <row r="58">
      <c r="A58" s="142" t="s">
        <v>152</v>
      </c>
      <c r="B58" s="142"/>
      <c r="C58" s="215">
        <v>14.0</v>
      </c>
      <c r="D58" s="142"/>
      <c r="E58" s="142"/>
      <c r="F58" s="142"/>
    </row>
  </sheetData>
  <drawing r:id="rId1"/>
</worksheet>
</file>